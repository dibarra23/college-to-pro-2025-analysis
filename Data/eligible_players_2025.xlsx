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igible_Players_2026" sheetId="1" state="visible" r:id="rId3"/>
    <sheet name="Source_Notes" sheetId="2" state="visible" r:id="rId4"/>
    <sheet name="Outcome_Summary" sheetId="3" state="visible" r:id="rId5"/>
    <sheet name="College_Year_Research" sheetId="4" state="visible" r:id="rId6"/>
    <sheet name="Outcome_Research_Log" sheetId="5" state="visible" r:id="rId7"/>
    <sheet name="Export_Verification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<sst xmlns="http://schemas.openxmlformats.org/spreadsheetml/2006/main" count="7169" uniqueCount="1462">
  <si>
    <t xml:space="preserve">Player</t>
  </si>
  <si>
    <t xml:space="preserve">Position</t>
  </si>
  <si>
    <t xml:space="preserve">School</t>
  </si>
  <si>
    <t xml:space="preserve">MLS NEXT Academy</t>
  </si>
  <si>
    <t xml:space="preserve">Drafted?</t>
  </si>
  <si>
    <t xml:space="preserve">Overall Pick</t>
  </si>
  <si>
    <t xml:space="preserve">MLS Club</t>
  </si>
  <si>
    <t xml:space="preserve">Signed Pro?</t>
  </si>
  <si>
    <t xml:space="preserve">Pro / Current Team</t>
  </si>
  <si>
    <t xml:space="preserve">League</t>
  </si>
  <si>
    <t xml:space="preserve">2026 Status</t>
  </si>
  <si>
    <t xml:space="preserve">College Year</t>
  </si>
  <si>
    <t xml:space="preserve">Evidence Source</t>
  </si>
  <si>
    <t xml:space="preserve">Evidence Note</t>
  </si>
  <si>
    <t xml:space="preserve">Verified As Of</t>
  </si>
  <si>
    <t xml:space="preserve">Outcome Category</t>
  </si>
  <si>
    <t xml:space="preserve">Drafted (Y/N)</t>
  </si>
  <si>
    <t xml:space="preserve">Confirmed Pro (Y/N)</t>
  </si>
  <si>
    <t xml:space="preserve">College Year Source</t>
  </si>
  <si>
    <t xml:space="preserve">College Season Verified</t>
  </si>
  <si>
    <t xml:space="preserve">College Year Note</t>
  </si>
  <si>
    <t xml:space="preserve">Abbey, Ian</t>
  </si>
  <si>
    <t xml:space="preserve">F</t>
  </si>
  <si>
    <t xml:space="preserve">Providence College</t>
  </si>
  <si>
    <t xml:space="preserve">Philadelphia Union</t>
  </si>
  <si>
    <t xml:space="preserve">No</t>
  </si>
  <si>
    <t xml:space="preserve">Yes</t>
  </si>
  <si>
    <t xml:space="preserve">Fort Wayne FC</t>
  </si>
  <si>
    <t xml:space="preserve">USL League One</t>
  </si>
  <si>
    <t xml:space="preserve">Professional</t>
  </si>
  <si>
    <t xml:space="preserve">Senior</t>
  </si>
  <si>
    <t xml:space="preserve">https://www.fortwaynefc.com/news/2026/04/10/goalkeeper-alex-grow-added-ian-abbey-converted-to-standard-contract/</t>
  </si>
  <si>
    <t xml:space="preserve">Fort Wayne FC confirmed Ian Abbey's standard professional contract in April 2026.</t>
  </si>
  <si>
    <t xml:space="preserve">2026-08-04</t>
  </si>
  <si>
    <t xml:space="preserve">https://friars.com/sports/mens-soccer/roster/ian-abbey/10545</t>
  </si>
  <si>
    <t xml:space="preserve">2025</t>
  </si>
  <si>
    <t xml:space="preserve">Official school athletics roster/player bio</t>
  </si>
  <si>
    <t xml:space="preserve">Abonnel, Jeremi</t>
  </si>
  <si>
    <t xml:space="preserve">GK</t>
  </si>
  <si>
    <t xml:space="preserve">Saint Louis University</t>
  </si>
  <si>
    <t xml:space="preserve">Vermont Green FC</t>
  </si>
  <si>
    <t xml:space="preserve">USL League Two</t>
  </si>
  <si>
    <t xml:space="preserve">Amateur / Pre-Professional</t>
  </si>
  <si>
    <t xml:space="preserve">Graduate Student</t>
  </si>
  <si>
    <t xml:space="preserve">https://vermontgreenfc.com/2026-roster-men/</t>
  </si>
  <si>
    <t xml:space="preserve">Vermont Green FC's 2026 roster lists Jeremi Abonnel. USL League Two is pre-professional, so this is a confirmed amateur/pre-professional outcome rather than a professional signing.</t>
  </si>
  <si>
    <t xml:space="preserve">https://slubillikens.com/sports/mens-soccer/roster/2025</t>
  </si>
  <si>
    <t xml:space="preserve">Adams, Luke</t>
  </si>
  <si>
    <t xml:space="preserve">D</t>
  </si>
  <si>
    <t xml:space="preserve">University of Tulsa</t>
  </si>
  <si>
    <t xml:space="preserve">Charlotte FC</t>
  </si>
  <si>
    <t xml:space="preserve">NCAA</t>
  </si>
  <si>
    <t xml:space="preserve">Returned to College</t>
  </si>
  <si>
    <t xml:space="preserve">Sophomore</t>
  </si>
  <si>
    <t xml:space="preserve">https://slubillikens.com/sports/mens-soccer/roster/luke-adams/13672</t>
  </si>
  <si>
    <t xml:space="preserve">Official Saint Louis 2026 roster lists Luke Adams after transferring from Tulsa.</t>
  </si>
  <si>
    <t xml:space="preserve">Existing College Year value preserved</t>
  </si>
  <si>
    <t xml:space="preserve">Agunbiade, Remi</t>
  </si>
  <si>
    <t xml:space="preserve">University of Akron</t>
  </si>
  <si>
    <t xml:space="preserve">San Diego FC</t>
  </si>
  <si>
    <t xml:space="preserve">https://gozips.com/sports/mens-soccer/roster</t>
  </si>
  <si>
    <t xml:space="preserve">Official Akron 2026 men's soccer roster lists Remi Agunbiade as a junior.</t>
  </si>
  <si>
    <t xml:space="preserve">Agyabeng, Kwaku</t>
  </si>
  <si>
    <t xml:space="preserve">M</t>
  </si>
  <si>
    <t xml:space="preserve">Clemson University</t>
  </si>
  <si>
    <t xml:space="preserve">Cedar Stars Academy Bergen</t>
  </si>
  <si>
    <t xml:space="preserve">Sporting Kansas City</t>
  </si>
  <si>
    <t xml:space="preserve">MLS</t>
  </si>
  <si>
    <t xml:space="preserve">Freshman</t>
  </si>
  <si>
    <t xml:space="preserve">https://matchcenter.mlsnextpro.com/league-reports/all-transfers/</t>
  </si>
  <si>
    <t xml:space="preserve">Current/signed outcome listed for the 2026 SuperDraft. MLS first-team signings cross-checked with the MLS transfer tracker.</t>
  </si>
  <si>
    <t xml:space="preserve">2026-08-03</t>
  </si>
  <si>
    <t xml:space="preserve">Akau, Dylan</t>
  </si>
  <si>
    <t xml:space="preserve">University of Denver</t>
  </si>
  <si>
    <t xml:space="preserve">Portland Timbers</t>
  </si>
  <si>
    <t xml:space="preserve">Timbers2</t>
  </si>
  <si>
    <t xml:space="preserve">MLS NEXT Pro</t>
  </si>
  <si>
    <t xml:space="preserve">https://www.mlssoccer.com/players/dylan-akau/</t>
  </si>
  <si>
    <t xml:space="preserve">MLSsoccer lists Dylan Akau as a current Timbers2 defender in MLS NEXT Pro.</t>
  </si>
  <si>
    <t xml:space="preserve">https://denverpioneers.com/sports/mens-soccer/roster/2025</t>
  </si>
  <si>
    <t xml:space="preserve">Akoum, Victor</t>
  </si>
  <si>
    <t xml:space="preserve">Indiana University</t>
  </si>
  <si>
    <t xml:space="preserve">Vancouver Whitecaps FC</t>
  </si>
  <si>
    <t xml:space="preserve">Junior</t>
  </si>
  <si>
    <t xml:space="preserve">Vermont Green FC's 2026 roster lists Victor Akoum. USL League Two is pre-professional, so this is a confirmed amateur/pre-professional outcome.</t>
  </si>
  <si>
    <t xml:space="preserve">Aktan, Jett</t>
  </si>
  <si>
    <t xml:space="preserve">Old Dominion University</t>
  </si>
  <si>
    <t xml:space="preserve">TSF Academy</t>
  </si>
  <si>
    <t xml:space="preserve">Not yet classified</t>
  </si>
  <si>
    <t xml:space="preserve">https://oduathletics.com/sports/mens-soccer/roster/season/2025</t>
  </si>
  <si>
    <t xml:space="preserve">Akulov, Egor</t>
  </si>
  <si>
    <t xml:space="preserve">University of Washington</t>
  </si>
  <si>
    <t xml:space="preserve">Redshirt Junior</t>
  </si>
  <si>
    <t xml:space="preserve">https://gohuskies.com/sports/mens-soccer/roster</t>
  </si>
  <si>
    <t xml:space="preserve">Official University of Washington 2026 men's soccer roster lists the player, confirming a return to college for the 2026 season.</t>
  </si>
  <si>
    <t xml:space="preserve">https://gohuskies.com/sports/mens-soccer/roster/2025</t>
  </si>
  <si>
    <t xml:space="preserve">Album, Chris</t>
  </si>
  <si>
    <t xml:space="preserve">University of Wisconsin Green Bay</t>
  </si>
  <si>
    <t xml:space="preserve">https://greenbayphoenix.com/sports/mens-soccer/roster/2025</t>
  </si>
  <si>
    <t xml:space="preserve">Alexander, Ben</t>
  </si>
  <si>
    <t xml:space="preserve">Boston University</t>
  </si>
  <si>
    <t xml:space="preserve">https://goterriers.com/sports/mens-soccer/roster/ben-alexander/27231</t>
  </si>
  <si>
    <t xml:space="preserve">Boston University's current 2026 spring roster lists Ben Alexander.</t>
  </si>
  <si>
    <t xml:space="preserve">https://goterriers.com/sports/mens-soccer/roster/ben-alexander/26436</t>
  </si>
  <si>
    <t xml:space="preserve">Almeida, Lucas</t>
  </si>
  <si>
    <t xml:space="preserve">Siena University</t>
  </si>
  <si>
    <t xml:space="preserve">https://sienasaints.com/sports/mens-soccer/roster/lucas-almeida/11215</t>
  </si>
  <si>
    <t xml:space="preserve">Official Siena 2026 roster lists Lucas Almeida as a senior.</t>
  </si>
  <si>
    <t xml:space="preserve">https://sienasaints.com/sports/mens-soccer/roster/lucas-almeida/10738</t>
  </si>
  <si>
    <t xml:space="preserve">Official 2025 Siena roster</t>
  </si>
  <si>
    <t xml:space="preserve">Alvardo, Diegoarmando</t>
  </si>
  <si>
    <t xml:space="preserve">Marquette University</t>
  </si>
  <si>
    <t xml:space="preserve">Chicago Fire FC</t>
  </si>
  <si>
    <t xml:space="preserve">https://gomarquette.com/sports/mens-soccer/roster/2025</t>
  </si>
  <si>
    <t xml:space="preserve">Alvarez, Beltran</t>
  </si>
  <si>
    <t xml:space="preserve">Virginia Tech</t>
  </si>
  <si>
    <t xml:space="preserve">https://hokiesports.com/sports/mens-soccer/roster</t>
  </si>
  <si>
    <t xml:space="preserve">Official Virginia Tech 2026 roster lists Beltran Alvarez.</t>
  </si>
  <si>
    <t xml:space="preserve">https://hokiesports.com/sports/mens-soccer/roster/season/2025/player/beltran-alvarez</t>
  </si>
  <si>
    <t xml:space="preserve">Aman, Richie</t>
  </si>
  <si>
    <t xml:space="preserve">Seacoast United</t>
  </si>
  <si>
    <t xml:space="preserve">D.C. United</t>
  </si>
  <si>
    <t xml:space="preserve">Amaral, Lorenzo</t>
  </si>
  <si>
    <t xml:space="preserve">Brown University</t>
  </si>
  <si>
    <t xml:space="preserve">https://brownbears.com/sports/mens-soccer/roster</t>
  </si>
  <si>
    <t xml:space="preserve">Official Brown 2026 roster lists Lorenzo Amaral.</t>
  </si>
  <si>
    <t xml:space="preserve">https://brownbears.com/sports/soccer/roster/amaral-lorenzo/18218</t>
  </si>
  <si>
    <t xml:space="preserve">Official 2025 Brown roster</t>
  </si>
  <si>
    <t xml:space="preserve">Amaro, Jaime</t>
  </si>
  <si>
    <t xml:space="preserve">Bryant University</t>
  </si>
  <si>
    <t xml:space="preserve">LA Galaxy</t>
  </si>
  <si>
    <t xml:space="preserve">Unknown</t>
  </si>
  <si>
    <t xml:space="preserve">No confirmed 2026 signing found</t>
  </si>
  <si>
    <t xml:space="preserve">https://en.wikipedia.org/wiki/2026_MLS_SuperDraft</t>
  </si>
  <si>
    <t xml:space="preserve">Drafted but no signed/current club is listed. Treat as Unknown, not as a confirmed failure to turn pro.</t>
  </si>
  <si>
    <t xml:space="preserve">Amaya, Jefferson</t>
  </si>
  <si>
    <t xml:space="preserve">High Point University</t>
  </si>
  <si>
    <t xml:space="preserve">Real Salt Lake</t>
  </si>
  <si>
    <t xml:space="preserve">Charlotte Independence</t>
  </si>
  <si>
    <t xml:space="preserve">Ampofo, William</t>
  </si>
  <si>
    <t xml:space="preserve">University of North Carolina Wilmington</t>
  </si>
  <si>
    <t xml:space="preserve">https://uncwsports.com/sports/mens-soccer/roster</t>
  </si>
  <si>
    <t xml:space="preserve">Official UNCW 2026 roster lists William Ampofo.</t>
  </si>
  <si>
    <t xml:space="preserve">https://uncwsports.com/sports/mens-soccer/roster/2025</t>
  </si>
  <si>
    <t xml:space="preserve">Anderson, Shane</t>
  </si>
  <si>
    <t xml:space="preserve">Purdue University Fort Wayne</t>
  </si>
  <si>
    <t xml:space="preserve">https://gomastodons.com/sports/soccer/roster/shane-anderson/9676</t>
  </si>
  <si>
    <t xml:space="preserve">Aoki, Rui</t>
  </si>
  <si>
    <t xml:space="preserve">University of Vermont</t>
  </si>
  <si>
    <t xml:space="preserve">Columbus Crew 2</t>
  </si>
  <si>
    <t xml:space="preserve">https://www.columbuscrew.com/news/columbus-crew-2-sign-three-players-to-mls-next-pro-contracts</t>
  </si>
  <si>
    <t xml:space="preserve">Columbus Crew 2 announced Rui Aoki signed an MLS NEXT Pro contract ahead of the 2026 season.</t>
  </si>
  <si>
    <t xml:space="preserve">https://uvmathletics.com/sports/mens-soccer/roster/rui-aoki/11839</t>
  </si>
  <si>
    <t xml:space="preserve">Official 2025 Vermont roster</t>
  </si>
  <si>
    <t xml:space="preserve">Arlotti, Alessandro</t>
  </si>
  <si>
    <t xml:space="preserve">Duke University</t>
  </si>
  <si>
    <t xml:space="preserve">Boston Bolts</t>
  </si>
  <si>
    <t xml:space="preserve">https://goduke.com/sports/mens-soccer/roster/2025</t>
  </si>
  <si>
    <t xml:space="preserve">Armstrong, Andrew</t>
  </si>
  <si>
    <t xml:space="preserve">University of Dayton</t>
  </si>
  <si>
    <t xml:space="preserve">Cedar Stars Academy Monmouth</t>
  </si>
  <si>
    <t xml:space="preserve">https://daytonflyers.com/roster.aspx?path=msoc&amp;season=2025</t>
  </si>
  <si>
    <t xml:space="preserve">Arras, Filip</t>
  </si>
  <si>
    <t xml:space="preserve">California State University Bakersfield</t>
  </si>
  <si>
    <t xml:space="preserve">https://gorunners.com/sports/mens-soccer/roster/filip-arras/7966</t>
  </si>
  <si>
    <t xml:space="preserve">Official CSU Bakersfield 2026 roster lists Filip Arras as a senior.</t>
  </si>
  <si>
    <t xml:space="preserve">https://gorunners.com/sports/mens-soccer/roster/filip-arras/7760</t>
  </si>
  <si>
    <t xml:space="preserve">Official player bio explicitly lists 2025 as Junior</t>
  </si>
  <si>
    <t xml:space="preserve">Asare, Michael</t>
  </si>
  <si>
    <t xml:space="preserve">Boston College</t>
  </si>
  <si>
    <t xml:space="preserve">https://bceagles.com/sports/mens-soccer/roster/</t>
  </si>
  <si>
    <t xml:space="preserve">Official Boston College 2026 roster lists Michael Asare.</t>
  </si>
  <si>
    <t xml:space="preserve">https://bceagles.com/sports/mens-soccer/roster/michael-asare/24754</t>
  </si>
  <si>
    <t xml:space="preserve">Aurelien, Gilles</t>
  </si>
  <si>
    <t xml:space="preserve">Utah Valley University</t>
  </si>
  <si>
    <t xml:space="preserve">https://gouvu.com/sports/mens-soccer/roster/gilles-aurelien/11043</t>
  </si>
  <si>
    <t xml:space="preserve">Avery, Miles</t>
  </si>
  <si>
    <t xml:space="preserve">Georgetown University</t>
  </si>
  <si>
    <t xml:space="preserve">Bethesda SC</t>
  </si>
  <si>
    <t xml:space="preserve">University of Portland</t>
  </si>
  <si>
    <t xml:space="preserve">https://portlandpilots.com/sports/mens-soccer/roster/2026</t>
  </si>
  <si>
    <t xml:space="preserve">Official Portland 2026 roster lists Miles Avery as a fifth-year player after Georgetown.</t>
  </si>
  <si>
    <t xml:space="preserve">https://guhoyas.com/sports/mens-soccer/roster/2025</t>
  </si>
  <si>
    <t xml:space="preserve">Awoudor, Clarence</t>
  </si>
  <si>
    <t xml:space="preserve">University of Central Florida</t>
  </si>
  <si>
    <t xml:space="preserve">https://ucfknights.com/news/2026/03/13/clarence-awoudor-signs-with-usl-league-ones-fort-wayne-fc</t>
  </si>
  <si>
    <t xml:space="preserve">UCF confirmed Clarence Awoudor signed his first professional contract with Fort Wayne FC.</t>
  </si>
  <si>
    <t xml:space="preserve">https://ucfknights.com/news/2025/12/12/awoudor-earns-united-soccer-coaches-division-i-all-america-third-team-status</t>
  </si>
  <si>
    <t xml:space="preserve">Ayala, Vicente</t>
  </si>
  <si>
    <t xml:space="preserve">University of San Diego</t>
  </si>
  <si>
    <t xml:space="preserve">https://usdtoreros.com/roster.aspx?path=msoc&amp;season=2025</t>
  </si>
  <si>
    <t xml:space="preserve">Ayella, Dominic</t>
  </si>
  <si>
    <t xml:space="preserve">Lindsey Wilson University</t>
  </si>
  <si>
    <t xml:space="preserve">https://lindseyathletics.com/sports/mens-soccer/roster/dominic-ayella/27260</t>
  </si>
  <si>
    <t xml:space="preserve">Baafi, Alfred</t>
  </si>
  <si>
    <t xml:space="preserve">https://highpointpanthers.com/sports/mens-soccer/roster</t>
  </si>
  <si>
    <t xml:space="preserve">Official High Point University 2026 men's soccer roster lists the player, confirming a return to college for the 2026 season.</t>
  </si>
  <si>
    <t xml:space="preserve">https://highpointpanthers.com/sports/mens-soccer/roster/2025</t>
  </si>
  <si>
    <t xml:space="preserve">Babineau, Travis</t>
  </si>
  <si>
    <t xml:space="preserve">University of California Irvine</t>
  </si>
  <si>
    <t xml:space="preserve">LAFC2</t>
  </si>
  <si>
    <t xml:space="preserve">https://www.lafc.com/lafc2/news/lafc2-adds-seven-californians-to-2026-roster</t>
  </si>
  <si>
    <t xml:space="preserve">LAFC2 announced Travis Babineau signed through June 2026 with a club option.</t>
  </si>
  <si>
    <t xml:space="preserve">https://ucirvinesports.com/sports/mens-soccer/roster</t>
  </si>
  <si>
    <t xml:space="preserve">Bahena, Cesar</t>
  </si>
  <si>
    <t xml:space="preserve">Albion SC San Diego</t>
  </si>
  <si>
    <t xml:space="preserve">AV ALTA FC</t>
  </si>
  <si>
    <t xml:space="preserve">https://www.avaltafc.com/club-roster/</t>
  </si>
  <si>
    <t xml:space="preserve">AV ALTA FC's official roster identifies Cesar Bahena's signing as the first step in his professional career.</t>
  </si>
  <si>
    <t xml:space="preserve">Baker, Mitchell</t>
  </si>
  <si>
    <t xml:space="preserve">Colorado Rapids</t>
  </si>
  <si>
    <t xml:space="preserve">https://guhoyas.com/sports/mens-soccer/roster/2026</t>
  </si>
  <si>
    <t xml:space="preserve">Official Georgetown University 2026 men's soccer roster lists the player, confirming a return to college for the 2026 season.</t>
  </si>
  <si>
    <t xml:space="preserve">Bank, Palmer</t>
  </si>
  <si>
    <t xml:space="preserve">Stanford University</t>
  </si>
  <si>
    <t xml:space="preserve">https://gostanford.com/sports/mens-soccer/roster</t>
  </si>
  <si>
    <t xml:space="preserve">Official Stanford 2026 roster lists Palmer Bank as a redshirt senior.</t>
  </si>
  <si>
    <t xml:space="preserve">Barclay, Jemone</t>
  </si>
  <si>
    <t xml:space="preserve">University of North Carolina Charlotte</t>
  </si>
  <si>
    <t xml:space="preserve">St. Louis CITY2</t>
  </si>
  <si>
    <t xml:space="preserve">https://charlotte49ers.com/news/2026/2/24/mens-soccer-jemone-barclay-signs-professional-contract-with-st-louis-city-2</t>
  </si>
  <si>
    <t xml:space="preserve">Charlotte confirmed Jemone Barclay signed a professional contract with St. Louis CITY2.</t>
  </si>
  <si>
    <t xml:space="preserve">https://charlotte49ers.com/sports/mens-soccer/roster/2025</t>
  </si>
  <si>
    <t xml:space="preserve">Barger, Alex</t>
  </si>
  <si>
    <t xml:space="preserve">Inter Miami CF</t>
  </si>
  <si>
    <t xml:space="preserve">https://iuhoosiers.com/sports/mens-soccer/roster</t>
  </si>
  <si>
    <t xml:space="preserve">Official Indiana University 2026 men's soccer roster lists the player, confirming a return to college for the 2026 season.</t>
  </si>
  <si>
    <t xml:space="preserve">Barnett, Draven</t>
  </si>
  <si>
    <t xml:space="preserve">Barnum, Bryce</t>
  </si>
  <si>
    <t xml:space="preserve">University of California San Diego</t>
  </si>
  <si>
    <t xml:space="preserve">Houston Dynamo FC</t>
  </si>
  <si>
    <t xml:space="preserve">https://ucsdtritons.com/sports/mens-soccer/roster/bryce-barnum/14230</t>
  </si>
  <si>
    <t xml:space="preserve">Official 2025 UC San Diego roster</t>
  </si>
  <si>
    <t xml:space="preserve">Baucher, Mathias</t>
  </si>
  <si>
    <t xml:space="preserve">University of Missouri Kansas City</t>
  </si>
  <si>
    <t xml:space="preserve">https://kcroos.com/sports/mens-soccer/roster</t>
  </si>
  <si>
    <t xml:space="preserve">Kansas City's current roster lists Mathias Baucher as a graduate student.</t>
  </si>
  <si>
    <t xml:space="preserve">https://kcroos.com/sports/mens-soccer/roster/mathias-baucher/4826</t>
  </si>
  <si>
    <t xml:space="preserve">Official 2025 Kansas City roster</t>
  </si>
  <si>
    <t xml:space="preserve">Baumgartner, Christian</t>
  </si>
  <si>
    <t xml:space="preserve">DePaul University</t>
  </si>
  <si>
    <t xml:space="preserve">Ohio State University</t>
  </si>
  <si>
    <t xml:space="preserve">https://ohiostatebuckeyes.com/sports/mens-soccer/roster</t>
  </si>
  <si>
    <t xml:space="preserve">Official Ohio State 2026 roster lists Christian Baumgartner after transferring from DePaul.</t>
  </si>
  <si>
    <t xml:space="preserve">https://depaulbluedemons.com/sports/soccer/roster/christian-baumgartner/3167</t>
  </si>
  <si>
    <t xml:space="preserve">Beason, Brayden</t>
  </si>
  <si>
    <t xml:space="preserve">University of San Francisco</t>
  </si>
  <si>
    <t xml:space="preserve">https://usfdons.com/sports/mens-soccer/roster</t>
  </si>
  <si>
    <t xml:space="preserve">Official San Francisco 2026 roster lists Brayden Beason as a junior.</t>
  </si>
  <si>
    <t xml:space="preserve">Beauvois, Triton</t>
  </si>
  <si>
    <t xml:space="preserve">University of Virginia</t>
  </si>
  <si>
    <t xml:space="preserve">New England Revolution</t>
  </si>
  <si>
    <t xml:space="preserve">New England Revolution II</t>
  </si>
  <si>
    <t xml:space="preserve">https://www.mlsnextpro.com/players/triton-beauvois/</t>
  </si>
  <si>
    <t xml:space="preserve">MLS NEXT Pro lists Triton Beauvois with New England Revolution II; he previously made his professional debut with Revs II.</t>
  </si>
  <si>
    <t xml:space="preserve">https://virginiasports.com/sports/msoc/roster/player/triton-beauvois</t>
  </si>
  <si>
    <t xml:space="preserve">Bebej, Kyle</t>
  </si>
  <si>
    <t xml:space="preserve">Chicago Fire FC II</t>
  </si>
  <si>
    <t xml:space="preserve">https://www.chicagofirefc.com/players/kyle-bebej/</t>
  </si>
  <si>
    <t xml:space="preserve">Chicago Fire lists Kyle Bebej on the current Chicago Fire FC II roster.</t>
  </si>
  <si>
    <t xml:space="preserve">Beckwith, Liam</t>
  </si>
  <si>
    <t xml:space="preserve">Princeton University</t>
  </si>
  <si>
    <t xml:space="preserve">https://goprincetontigers.com/sports/mens-soccer/roster</t>
  </si>
  <si>
    <t xml:space="preserve">Official Princeton 2026 roster lists Liam Beckwith.</t>
  </si>
  <si>
    <t xml:space="preserve">https://goprincetontigers.com/news/2026/5/20/mens-soccer-beckwith-and-samuels-named-2026-captains</t>
  </si>
  <si>
    <t xml:space="preserve">Bedouret, Tomas</t>
  </si>
  <si>
    <t xml:space="preserve">University of Pittsburgh</t>
  </si>
  <si>
    <t xml:space="preserve">Redshirt Senior</t>
  </si>
  <si>
    <t xml:space="preserve">https://pittsburghpanthers.com/sports/mens-soccer/roster/2025</t>
  </si>
  <si>
    <t xml:space="preserve">Belong, Jalen</t>
  </si>
  <si>
    <t xml:space="preserve">University of Massachusetts Amherst</t>
  </si>
  <si>
    <t xml:space="preserve">FC Dallas</t>
  </si>
  <si>
    <t xml:space="preserve">Western Mass Pioneers</t>
  </si>
  <si>
    <t xml:space="preserve">https://wmpioneers.com/roster/</t>
  </si>
  <si>
    <t xml:space="preserve">Western Mass Pioneers' 2026 roster lists Jalen Belong. USL League Two is pre-professional, so this is a confirmed amateur/pre-professional outcome.</t>
  </si>
  <si>
    <t xml:space="preserve">https://umassathletics.com/sports/mens-soccer/roster/jalen-belong/17586</t>
  </si>
  <si>
    <t xml:space="preserve">Bengard, Aiden</t>
  </si>
  <si>
    <t xml:space="preserve">California State University Fullerton</t>
  </si>
  <si>
    <t xml:space="preserve">Minnesota United FC</t>
  </si>
  <si>
    <t xml:space="preserve">Berge, Riley</t>
  </si>
  <si>
    <t xml:space="preserve">University of North Carolina Chapel Hill</t>
  </si>
  <si>
    <t xml:space="preserve">Baltimore Armour</t>
  </si>
  <si>
    <t xml:space="preserve">University of North Carolina</t>
  </si>
  <si>
    <t xml:space="preserve">https://goheels.com/sports/mens-soccer/roster/riley-berge/23628</t>
  </si>
  <si>
    <t xml:space="preserve">UNC's current 2026 spring roster lists Riley Berge as a graduate student.</t>
  </si>
  <si>
    <t xml:space="preserve">https://goheels.com/sports/mens-soccer/roster/2025</t>
  </si>
  <si>
    <t xml:space="preserve">Bertelli, Ugo</t>
  </si>
  <si>
    <t xml:space="preserve">https://hokiesports.com/sports/mens-soccer/roster/player/ugo-bertelli</t>
  </si>
  <si>
    <t xml:space="preserve">Bezerra, Luka</t>
  </si>
  <si>
    <t xml:space="preserve">Billo Diop, Mamadou</t>
  </si>
  <si>
    <t xml:space="preserve">Colorado Rapids 2</t>
  </si>
  <si>
    <t xml:space="preserve">Bilow, Ashton</t>
  </si>
  <si>
    <t xml:space="preserve">Asheville City SC</t>
  </si>
  <si>
    <t xml:space="preserve">https://www.ussoccer.com/stories/2026/03/usoc/usl-league-two-asheville-city-sc-upsl-valley-559-fc-prevail-against-professional-opposition</t>
  </si>
  <si>
    <t xml:space="preserve">U.S. Soccer identifies Ashton Bilow playing for USL League Two side Asheville City SC in 2026; USL League Two is pre-professional.</t>
  </si>
  <si>
    <t xml:space="preserve">https://ohiostatebuckeyes.com/sports/mens-soccer/roster/2025</t>
  </si>
  <si>
    <t xml:space="preserve">Bjornsson, Ulfur</t>
  </si>
  <si>
    <t xml:space="preserve">https://goduke.com/sports/mens-soccer/roster</t>
  </si>
  <si>
    <t xml:space="preserve">Official Duke 2026 roster lists Ulfur Bjornsson.</t>
  </si>
  <si>
    <t xml:space="preserve">Blackwell, Rohan</t>
  </si>
  <si>
    <t xml:space="preserve">University of North Georgia</t>
  </si>
  <si>
    <t xml:space="preserve">Atlanta United</t>
  </si>
  <si>
    <t xml:space="preserve">https://ungathletics.com/sports/mens-soccer/roster/rohan-blackwell/5051</t>
  </si>
  <si>
    <t xml:space="preserve">Official 2025 North Georgia roster</t>
  </si>
  <si>
    <t xml:space="preserve">Boccuzzo, David</t>
  </si>
  <si>
    <t xml:space="preserve">Florida International University</t>
  </si>
  <si>
    <t xml:space="preserve">Orlando City</t>
  </si>
  <si>
    <t xml:space="preserve">https://fiusports.com/sports/mens-soccer/roster/2025</t>
  </si>
  <si>
    <t xml:space="preserve">Bokota, Elie</t>
  </si>
  <si>
    <t xml:space="preserve">Loyola Marymount University</t>
  </si>
  <si>
    <t xml:space="preserve">https://lmulions.com/sports/mens-soccer/roster/2025</t>
  </si>
  <si>
    <t xml:space="preserve">Bordoy, Anders</t>
  </si>
  <si>
    <t xml:space="preserve">https://pittsburghpanthers.com/sports/mens-soccer/roster/anders-bordoy/15233</t>
  </si>
  <si>
    <t xml:space="preserve">Official/current Pitt roster lists Anders Bordoy for 2026.</t>
  </si>
  <si>
    <t xml:space="preserve">Boring, Jack</t>
  </si>
  <si>
    <t xml:space="preserve">University of Louisville</t>
  </si>
  <si>
    <t xml:space="preserve">https://gocards.com/sports/mens-soccer/roster/jack-boring/17890</t>
  </si>
  <si>
    <t xml:space="preserve">Official Louisville 2026 roster lists Jack Boring.</t>
  </si>
  <si>
    <t xml:space="preserve">https://gocards.com/sports/mens-soccer/roster/2025</t>
  </si>
  <si>
    <t xml:space="preserve">Borkovic, Marko</t>
  </si>
  <si>
    <t xml:space="preserve">Borso, Wyatt</t>
  </si>
  <si>
    <t xml:space="preserve">University of Notre Dame</t>
  </si>
  <si>
    <t xml:space="preserve">Oregon State University</t>
  </si>
  <si>
    <t xml:space="preserve">https://osubeavers.com/sports/mens-soccer/roster</t>
  </si>
  <si>
    <t xml:space="preserve">Oregon State's 2026 roster lists Wyatt Borso after transferring from Notre Dame.</t>
  </si>
  <si>
    <t xml:space="preserve">https://fightingirish.com/sports/msoc/roster/season/2526/player/wyatt-borso/</t>
  </si>
  <si>
    <t xml:space="preserve">Boudinar, Younes</t>
  </si>
  <si>
    <t xml:space="preserve">https://ucfknights.com/sports/mens-soccer/roster</t>
  </si>
  <si>
    <t xml:space="preserve">Official University of Central Florida 2026 men's soccer roster lists the player, confirming a return to college for the 2026 season.</t>
  </si>
  <si>
    <t xml:space="preserve">https://ucfknights.com/sports/mens-soccer/roster/season/2025/player/younes-boudinar</t>
  </si>
  <si>
    <t xml:space="preserve">Box, Kevin</t>
  </si>
  <si>
    <t xml:space="preserve">University of California Los Angeles</t>
  </si>
  <si>
    <t xml:space="preserve">https://uclabruins.com/sports/mens-soccer/roster/kevin-box/15364</t>
  </si>
  <si>
    <t xml:space="preserve">Bracken Serra, Kieran</t>
  </si>
  <si>
    <t xml:space="preserve">University of California Berkeley</t>
  </si>
  <si>
    <t xml:space="preserve">Silicon Valley SA, Lamorinda SC</t>
  </si>
  <si>
    <t xml:space="preserve">https://calbears.com/sports/mens-soccer/roster/2026</t>
  </si>
  <si>
    <t xml:space="preserve">Official Cal 2026 men's soccer roster lists Kieran Bracken Serra as a junior.</t>
  </si>
  <si>
    <t xml:space="preserve">https://calbears.com/sports/mens-soccer/roster/2025</t>
  </si>
  <si>
    <t xml:space="preserve">Brink, Marten</t>
  </si>
  <si>
    <t xml:space="preserve">College of Charleston</t>
  </si>
  <si>
    <t xml:space="preserve">https://cofcsports.com/sports/mens-soccer/roster/2026</t>
  </si>
  <si>
    <t xml:space="preserve">Official College of Charleston 2026 roster lists Marten Brink after transferring from Marquette.</t>
  </si>
  <si>
    <t xml:space="preserve">Brown, Abraham</t>
  </si>
  <si>
    <t xml:space="preserve">Total Futbol Academy</t>
  </si>
  <si>
    <t xml:space="preserve">Brown, Andrew</t>
  </si>
  <si>
    <t xml:space="preserve">https://uclabruins.com/documents/download/2025/8/21/2025_MSOC_Info_Guide_Section_1.pdf</t>
  </si>
  <si>
    <t xml:space="preserve">Official UCLA 2025 men's soccer info guide lists Drew/Andrew Brown as Graduate Student</t>
  </si>
  <si>
    <t xml:space="preserve">Bruletti, Cristiano</t>
  </si>
  <si>
    <t xml:space="preserve">Whitecaps FC 2</t>
  </si>
  <si>
    <t xml:space="preserve">https://www.whitecapsfc.com/news/wfc2-sign-midfielder-cristiano-bruletti</t>
  </si>
  <si>
    <t xml:space="preserve">Vancouver Whitecaps announced Cristiano Bruletti signed a WFC2 MLS NEXT Pro contract through 2026.</t>
  </si>
  <si>
    <t xml:space="preserve">Brummett, Austin</t>
  </si>
  <si>
    <t xml:space="preserve">University of Connecticut</t>
  </si>
  <si>
    <t xml:space="preserve">Seacoast United, Red Bull New York</t>
  </si>
  <si>
    <t xml:space="preserve">Houston Dynamo 2</t>
  </si>
  <si>
    <t xml:space="preserve">Brunet, Charles-Emile</t>
  </si>
  <si>
    <t xml:space="preserve">Southern Methodist University</t>
  </si>
  <si>
    <t xml:space="preserve">Nashville SC</t>
  </si>
  <si>
    <t xml:space="preserve">Budler, Mitch</t>
  </si>
  <si>
    <t xml:space="preserve">Pittsburgh Riverhounds SC</t>
  </si>
  <si>
    <t xml:space="preserve">USL Championship</t>
  </si>
  <si>
    <t xml:space="preserve">https://www.riverhounds.com/news/2026/03/02/mitch-budler-signing/</t>
  </si>
  <si>
    <t xml:space="preserve">Pittsburgh Riverhounds announced Mitch Budler signed for the 2026 season.</t>
  </si>
  <si>
    <t xml:space="preserve">https://gozips.com/sports/mens-soccer/roster/2025</t>
  </si>
  <si>
    <t xml:space="preserve">Bull, Owen</t>
  </si>
  <si>
    <t xml:space="preserve">Yale University</t>
  </si>
  <si>
    <t xml:space="preserve">https://yalebulldogs.com/sports/mens-soccer/roster/owen-bull/22625</t>
  </si>
  <si>
    <t xml:space="preserve">Official Yale 2026 roster lists Owen Bull as a junior.</t>
  </si>
  <si>
    <t xml:space="preserve">https://yalebulldogs.com/sports/mens-soccer/roster/owen-bull/20572</t>
  </si>
  <si>
    <t xml:space="preserve">Burko, Daniel</t>
  </si>
  <si>
    <t xml:space="preserve">Hofstra University</t>
  </si>
  <si>
    <t xml:space="preserve">Westchester SC</t>
  </si>
  <si>
    <t xml:space="preserve">https://www.ussoccer.com/stories/2026/03/usoc/2026-us-open-cup-team-of-the-round-first-round</t>
  </si>
  <si>
    <t xml:space="preserve">U.S. Soccer identified Daniel Burko as a first-year professional with Westchester SC.</t>
  </si>
  <si>
    <t xml:space="preserve">https://gohofstra.com/sports/mens-soccer/roster/daniel-burko/16680</t>
  </si>
  <si>
    <t xml:space="preserve">Burns, Trevor</t>
  </si>
  <si>
    <t xml:space="preserve">Sporting Kansas City II</t>
  </si>
  <si>
    <t xml:space="preserve">https://www.sportingkc.com/news/sporting-kc-ii-signs-trevor-burns-and-alex-cunningham-to-professional-contracts</t>
  </si>
  <si>
    <t xml:space="preserve">Undrafted Duke player; signed MLS NEXT Pro contract with Sporting KC II ahead of 2026 season, per club announcement Feb 2026.</t>
  </si>
  <si>
    <t xml:space="preserve">Burns, Luke</t>
  </si>
  <si>
    <t xml:space="preserve">Phoenix Rising FC</t>
  </si>
  <si>
    <t xml:space="preserve">https://virginiasports.com/sports/msoc/roster</t>
  </si>
  <si>
    <t xml:space="preserve">Official Virginia 2026 roster lists Luke Burns.</t>
  </si>
  <si>
    <t xml:space="preserve">https://virginiasports.com/sports/msoc/roster/season/2025-26/player/luke-burns</t>
  </si>
  <si>
    <t xml:space="preserve">Cabrera, Nestor</t>
  </si>
  <si>
    <t xml:space="preserve">Rutgers University</t>
  </si>
  <si>
    <t xml:space="preserve">Red Bull New York</t>
  </si>
  <si>
    <t xml:space="preserve">New York Cosmos</t>
  </si>
  <si>
    <t xml:space="preserve">https://www.nycosmos.com/5-nestor-cabrera/</t>
  </si>
  <si>
    <t xml:space="preserve">New York Cosmos lists Nestor Cabrera on its first-team professional roster.</t>
  </si>
  <si>
    <t xml:space="preserve">https://scarletknights.com/sports/mens-soccer/roster/nestor-cabrera/11657</t>
  </si>
  <si>
    <t xml:space="preserve">Official 2025 Rutgers roster</t>
  </si>
  <si>
    <t xml:space="preserve">Carbone, Matteo</t>
  </si>
  <si>
    <t xml:space="preserve">University of the Pacific</t>
  </si>
  <si>
    <t xml:space="preserve">https://pacifictigers.com/sports/mens-soccer/roster/matteo-carbone/5692</t>
  </si>
  <si>
    <t xml:space="preserve">Official 2025 Pacific roster</t>
  </si>
  <si>
    <t xml:space="preserve">Carmichael, Gavin</t>
  </si>
  <si>
    <t xml:space="preserve">Official UNCW 2026 roster lists Gavin Carmichael.</t>
  </si>
  <si>
    <t xml:space="preserve">Carnevale, Westin</t>
  </si>
  <si>
    <t xml:space="preserve">Cornell University</t>
  </si>
  <si>
    <t xml:space="preserve">PA Classics</t>
  </si>
  <si>
    <t xml:space="preserve">Official Indiana 2026 roster lists Westin Carnevale after transferring from Cornell.</t>
  </si>
  <si>
    <t xml:space="preserve">https://cornellbigred.com/sports/mens-soccer/roster/2025-26</t>
  </si>
  <si>
    <t xml:space="preserve">Caton, Tyler</t>
  </si>
  <si>
    <t xml:space="preserve">North Carolina State University</t>
  </si>
  <si>
    <t xml:space="preserve">https://gopack.com/sports/mens-soccer/roster</t>
  </si>
  <si>
    <t xml:space="preserve">Official NC State 2026 roster lists Tyler Caton.</t>
  </si>
  <si>
    <t xml:space="preserve">https://gopack.com/sports/mens-soccer/roster/2025</t>
  </si>
  <si>
    <t xml:space="preserve">Cayelli, Patrick</t>
  </si>
  <si>
    <t xml:space="preserve">University of Pennsylvania</t>
  </si>
  <si>
    <t xml:space="preserve">Austin FC</t>
  </si>
  <si>
    <t xml:space="preserve">Austin FC II</t>
  </si>
  <si>
    <t xml:space="preserve">Cence, Matt</t>
  </si>
  <si>
    <t xml:space="preserve">University of Massachusetts</t>
  </si>
  <si>
    <t xml:space="preserve">Sarasota Paradise</t>
  </si>
  <si>
    <t xml:space="preserve">https://umassathletics.com/news/2026/2/13/mens-soccer-cence-joins-sarasota-paradise</t>
  </si>
  <si>
    <t xml:space="preserve">UMass confirmed Matt Cence signed his first professional contract with Sarasota Paradise.</t>
  </si>
  <si>
    <t xml:space="preserve">https://umassathletics.com/sports/mens-soccer/roster/matt-cence/16320</t>
  </si>
  <si>
    <t xml:space="preserve">Christou, Constantinos</t>
  </si>
  <si>
    <t xml:space="preserve">West Virginia University</t>
  </si>
  <si>
    <t xml:space="preserve">https://wvusports.com/sports/mens-soccer/roster/constantinos-christou/19741</t>
  </si>
  <si>
    <t xml:space="preserve">Official West Virginia 2026 roster lists Constantinos Christou.</t>
  </si>
  <si>
    <t xml:space="preserve">https://wvusports.com/sports/mens-soccer/roster/2025</t>
  </si>
  <si>
    <t xml:space="preserve">Clarke-Tosczak, Nikos</t>
  </si>
  <si>
    <t xml:space="preserve">Returned to college</t>
  </si>
  <si>
    <t xml:space="preserve">Clarkson, Jack</t>
  </si>
  <si>
    <t xml:space="preserve">MNUFC2</t>
  </si>
  <si>
    <t xml:space="preserve">https://www.mnufc.com/mnufc2/roster/players/jack-clarkson</t>
  </si>
  <si>
    <t xml:space="preserve">MNUFC2 confirms Jack Clarkson signed an MLS NEXT Pro contract in May 2026.</t>
  </si>
  <si>
    <t xml:space="preserve">Cleary, Will</t>
  </si>
  <si>
    <t xml:space="preserve">Clothier, Riley</t>
  </si>
  <si>
    <t xml:space="preserve">Belmont University</t>
  </si>
  <si>
    <t xml:space="preserve">https://belmontbruins.com/sports/mens-soccer/roster/riley-clothier/4549</t>
  </si>
  <si>
    <t xml:space="preserve">Colici, Razvan</t>
  </si>
  <si>
    <t xml:space="preserve">Concordia University</t>
  </si>
  <si>
    <t xml:space="preserve">Not found</t>
  </si>
  <si>
    <t xml:space="preserve">2025 / 2026 searched</t>
  </si>
  <si>
    <t xml:space="preserve">No reliable official school roster/class result located in this research pass</t>
  </si>
  <si>
    <t xml:space="preserve">Conlon, Sebastian</t>
  </si>
  <si>
    <t xml:space="preserve">University of Kentucky</t>
  </si>
  <si>
    <t xml:space="preserve">Ventura County FC</t>
  </si>
  <si>
    <t xml:space="preserve">Consoloni, Leonardo</t>
  </si>
  <si>
    <t xml:space="preserve">https://fiusports.com/sports/msoc/roster</t>
  </si>
  <si>
    <t xml:space="preserve">Official FIU 2026 roster lists Leonardo Consoloni.</t>
  </si>
  <si>
    <t xml:space="preserve">Cortez, John Carlos (JC)</t>
  </si>
  <si>
    <t xml:space="preserve">Costabile, Luca</t>
  </si>
  <si>
    <t xml:space="preserve">University of Maryland</t>
  </si>
  <si>
    <t xml:space="preserve">Toronto FC II</t>
  </si>
  <si>
    <t xml:space="preserve">https://umterps.com/news/2026/1/20/mens-soccer-luca-costabile-signs-with-toronto-fc-next-up</t>
  </si>
  <si>
    <t xml:space="preserve">Maryland confirmed Luca Costabile signed with Toronto FC II.</t>
  </si>
  <si>
    <t xml:space="preserve">https://umterps.com/sports/mens-soccer/roster/2025</t>
  </si>
  <si>
    <t xml:space="preserve">Cruthers, Cole</t>
  </si>
  <si>
    <t xml:space="preserve">Portland Timbers2</t>
  </si>
  <si>
    <t xml:space="preserve">https://www.timbers.com/t2/news/timbers2-sign-former-academy-midfielder-cole-cruthers</t>
  </si>
  <si>
    <t xml:space="preserve">Timbers2 announced Cole Cruthers signed a five-month MLS NEXT Pro contract.</t>
  </si>
  <si>
    <t xml:space="preserve">https://scarletknights.com/sports/mens-soccer/roster/2025</t>
  </si>
  <si>
    <t xml:space="preserve">Dade, Ky Mani</t>
  </si>
  <si>
    <t xml:space="preserve">https://lmulions.com/sports/mens-soccer/roster/2026</t>
  </si>
  <si>
    <t xml:space="preserve">Official LMU 2026 roster lists Ky Mani Dade.</t>
  </si>
  <si>
    <t xml:space="preserve">D'Agostino, Blake</t>
  </si>
  <si>
    <t xml:space="preserve">California Baptist University</t>
  </si>
  <si>
    <t xml:space="preserve">Dahl, Lasse</t>
  </si>
  <si>
    <t xml:space="preserve">https://pittsburghpanthers.com/sports/soccer/roster/dahl-lasse/13839</t>
  </si>
  <si>
    <t xml:space="preserve">Dale, Joe</t>
  </si>
  <si>
    <t xml:space="preserve">Seattle Sounders FC</t>
  </si>
  <si>
    <t xml:space="preserve">Tacoma Defiance</t>
  </si>
  <si>
    <t xml:space="preserve">Dalton, Ciaran</t>
  </si>
  <si>
    <t xml:space="preserve">Monterey Bay FC</t>
  </si>
  <si>
    <t xml:space="preserve">https://www.montereybayfc.com/news/2026/03/04/monterey-bay-fc-sign-former-new-york-red-bulls-and-rutgers-goalkeeper/</t>
  </si>
  <si>
    <t xml:space="preserve">Monterey Bay FC announced Ciaran Dalton signed a professional contract.</t>
  </si>
  <si>
    <t xml:space="preserve">Dawson, Connor</t>
  </si>
  <si>
    <t xml:space="preserve">St. Louis Scott Gallagher</t>
  </si>
  <si>
    <t xml:space="preserve">https://pennathletics.com/sports/mens-soccer/roster</t>
  </si>
  <si>
    <t xml:space="preserve">Official Penn 2026 roster lists Connor Dawson.</t>
  </si>
  <si>
    <t xml:space="preserve">https://pennathletics.com/sports/mens-soccer/roster/2025</t>
  </si>
  <si>
    <t xml:space="preserve">De Coteau, Jabari</t>
  </si>
  <si>
    <t xml:space="preserve">Xavier University</t>
  </si>
  <si>
    <t xml:space="preserve">De Gannes, Andrew</t>
  </si>
  <si>
    <t xml:space="preserve">https://www.stlcitysc.com/news/st-louis-city2-signs-trinidadian-defender-andrew-de-gannes</t>
  </si>
  <si>
    <t xml:space="preserve">St. Louis CITY2 announced Andrew De Gannes signed a one-year MLS NEXT Pro contract.</t>
  </si>
  <si>
    <t xml:space="preserve">https://osubeavers.com/sports/mens-soccer/roster/2025</t>
  </si>
  <si>
    <t xml:space="preserve">De La Torre, Jose</t>
  </si>
  <si>
    <t xml:space="preserve">https://fullertontitans.com/sports/mens-soccer/roster/jose-de-la-torre/5569</t>
  </si>
  <si>
    <t xml:space="preserve">De La Torre, Alejandro</t>
  </si>
  <si>
    <t xml:space="preserve">University of the Incarnate Word</t>
  </si>
  <si>
    <t xml:space="preserve">https://uiwcardinals.com/sports/mens-soccer/roster/2025</t>
  </si>
  <si>
    <t xml:space="preserve">De Vicente Espinosa, Jesus</t>
  </si>
  <si>
    <t xml:space="preserve">Oakland Roots SC</t>
  </si>
  <si>
    <t xml:space="preserve">https://uicflames.com/news/2026/2/9/mens-soccer-pair-of-uic-mens-soccer-all-region-alums-sign-professional-contracts.aspx</t>
  </si>
  <si>
    <t xml:space="preserve">UIC confirmed Jesus De Vicente signed with Oakland Roots SC.</t>
  </si>
  <si>
    <t xml:space="preserve">https://virginiasports.com/sports/msoc/roster/player/jesus-de-vicente</t>
  </si>
  <si>
    <t xml:space="preserve">Official Virginia 2025-26 roster</t>
  </si>
  <si>
    <t xml:space="preserve">Diarra, Mamadou</t>
  </si>
  <si>
    <t xml:space="preserve">Florida Atlantic University</t>
  </si>
  <si>
    <t xml:space="preserve">https://fausports.com/sports/mens-soccer/roster</t>
  </si>
  <si>
    <t xml:space="preserve">Official FAU 2026 roster lists Mamadou Diarra as a graduate student.</t>
  </si>
  <si>
    <t xml:space="preserve">https://fausports.com/sports/mens-soccer/roster/mamadou-diarra/18077/</t>
  </si>
  <si>
    <t xml:space="preserve">Dickerson, Charlie</t>
  </si>
  <si>
    <t xml:space="preserve">Toronto FC</t>
  </si>
  <si>
    <t xml:space="preserve">https://www.westchestersc.com/roster/charlie-dickerson/</t>
  </si>
  <si>
    <t xml:space="preserve">Westchester SC lists Charlie Dickerson on its 2026 first-team professional roster.</t>
  </si>
  <si>
    <t xml:space="preserve">https://friars.com/sports/mens-soccer/roster/2025</t>
  </si>
  <si>
    <t xml:space="preserve">DiClemente, Thomas</t>
  </si>
  <si>
    <t xml:space="preserve">York University</t>
  </si>
  <si>
    <t xml:space="preserve">4th Year</t>
  </si>
  <si>
    <t xml:space="preserve">https://yorkulions.ca/sports/mens-soccer/roster/thomas-diclemente/11755</t>
  </si>
  <si>
    <t xml:space="preserve">Official 2025 York roster; York lists Year 4</t>
  </si>
  <si>
    <t xml:space="preserve">Dikko, Adebayo</t>
  </si>
  <si>
    <t xml:space="preserve">https://daytonflyers.com/sports/msoc/roster</t>
  </si>
  <si>
    <t xml:space="preserve">Official University of Dayton 2026 men's soccer roster lists the player, confirming a return to college for the 2026 season.</t>
  </si>
  <si>
    <t xml:space="preserve">Dildy, Brad</t>
  </si>
  <si>
    <t xml:space="preserve">https://belmontbruins.com/sports/mens-soccer/roster/brad-dildy/4550</t>
  </si>
  <si>
    <t xml:space="preserve">D'lppolito, Daniel</t>
  </si>
  <si>
    <t xml:space="preserve">Fordham University</t>
  </si>
  <si>
    <t xml:space="preserve">CT United FC</t>
  </si>
  <si>
    <t xml:space="preserve">https://www.mlsnextpro.com/news/ct-united-fc-unveils-the-2026-season-schedule-season-ticket-deposits-and-inaugural-roster-signings</t>
  </si>
  <si>
    <t xml:space="preserve">MLS NEXT Pro lists Daniel D'Ippolito among CT United FC's inaugural 2026 professional signings.</t>
  </si>
  <si>
    <t xml:space="preserve">https://fordhamsports.com/news/2025/12/16/mens-soccer-daniel-d-ippolito-named-second-team-csc-academic-all-america.aspx</t>
  </si>
  <si>
    <t xml:space="preserve">Dobrijevic, Stefan</t>
  </si>
  <si>
    <t xml:space="preserve">Dobruna, Dren</t>
  </si>
  <si>
    <t xml:space="preserve">New York City FC</t>
  </si>
  <si>
    <t xml:space="preserve">https://daytonflyers.com/sports/mens-soccer/roster/dren-dobruna/15448</t>
  </si>
  <si>
    <t xml:space="preserve">Official Dayton bio states Dren Dobruna signed a two-year deal with Austin FC II in spring 2026.</t>
  </si>
  <si>
    <t xml:space="preserve">Dodzi, Charles</t>
  </si>
  <si>
    <t xml:space="preserve">N/A - Club/Academy</t>
  </si>
  <si>
    <t xml:space="preserve">https://www.mlsnextpro.com/clubs/tacoma-defiance/</t>
  </si>
  <si>
    <t xml:space="preserve">Listed from Tacoma Defiance rather than a college program</t>
  </si>
  <si>
    <t xml:space="preserve">Doidge, James</t>
  </si>
  <si>
    <t xml:space="preserve">Metropolitan State University of Denver</t>
  </si>
  <si>
    <t xml:space="preserve">https://roadrunnersathletics.com/sports/mens-soccer/roster/james-doidge/6272</t>
  </si>
  <si>
    <t xml:space="preserve">Dossmann, Niklas</t>
  </si>
  <si>
    <t xml:space="preserve">San Jose State University</t>
  </si>
  <si>
    <t xml:space="preserve">https://sjsuspartans.com/sports/mens-soccer/roster/season/2025</t>
  </si>
  <si>
    <t xml:space="preserve">Dovlo, Enzo</t>
  </si>
  <si>
    <t xml:space="preserve">University of North Carolina Greensboro</t>
  </si>
  <si>
    <t xml:space="preserve">Atlanta United 2</t>
  </si>
  <si>
    <t xml:space="preserve">Durham, Kyle</t>
  </si>
  <si>
    <t xml:space="preserve">Met Oval</t>
  </si>
  <si>
    <t xml:space="preserve">https://uconnhuskies.com/sports/mens-soccer/roster</t>
  </si>
  <si>
    <t xml:space="preserve">Official UConn 2026 roster lists Kyle Durham as a redshirt junior.</t>
  </si>
  <si>
    <t xml:space="preserve">Dymora, Eryk</t>
  </si>
  <si>
    <t xml:space="preserve">Players Development Academy</t>
  </si>
  <si>
    <t xml:space="preserve">North Texas SC</t>
  </si>
  <si>
    <t xml:space="preserve">https://www.fcdallas.com/northtexassc/news/north-texas-sc-signs-goalkeeper-eryk-dymora</t>
  </si>
  <si>
    <t xml:space="preserve">North Texas SC announced Eryk Dymora signed a two-year MLS NEXT Pro contract.</t>
  </si>
  <si>
    <t xml:space="preserve">Eaton, Robert</t>
  </si>
  <si>
    <t xml:space="preserve">United States Naval Academy</t>
  </si>
  <si>
    <t xml:space="preserve">FC Cincinnati</t>
  </si>
  <si>
    <t xml:space="preserve">https://navysports.com/sports/mens-soccer/roster/robert-eaton/28793</t>
  </si>
  <si>
    <t xml:space="preserve">Official 2025 Navy roster</t>
  </si>
  <si>
    <t xml:space="preserve">Elgersma, Troy</t>
  </si>
  <si>
    <t xml:space="preserve">American University</t>
  </si>
  <si>
    <t xml:space="preserve">https://www.lagalaxy.com/news/la-galaxy-sign-midfielder-troy-elgersma-to-first-team-contract-through-2026</t>
  </si>
  <si>
    <t xml:space="preserve">LA Galaxy announced Troy Elgersma signed a first-team MLS contract through 2026.</t>
  </si>
  <si>
    <t xml:space="preserve">https://aueagles.com/sports/mens-soccer/roster/troy-elgersma/7120</t>
  </si>
  <si>
    <t xml:space="preserve">Eliuda, James</t>
  </si>
  <si>
    <t xml:space="preserve">George Mason University</t>
  </si>
  <si>
    <t xml:space="preserve">https://gomason.com/sports/mens-soccer/roster/james-eliuda/7786</t>
  </si>
  <si>
    <t xml:space="preserve">Official George Mason 2026 roster lists James Eliuda.</t>
  </si>
  <si>
    <t xml:space="preserve">https://gomason.com/news/2025/9/2/mens-soccer-brent-fields-nets-game-winner-to-lift-patriots-past-bucknell.aspx</t>
  </si>
  <si>
    <t xml:space="preserve">Official George Mason 2025 match recap identifies James Eliuda as a junior midfielder</t>
  </si>
  <si>
    <t xml:space="preserve">Elizalde, Cesar (Danny)</t>
  </si>
  <si>
    <t xml:space="preserve">Emojong, Isaac</t>
  </si>
  <si>
    <t xml:space="preserve">Sacramento Republic FC, Barca Residency Academy</t>
  </si>
  <si>
    <t xml:space="preserve">Engmann, Christian</t>
  </si>
  <si>
    <t xml:space="preserve">San Diego State University</t>
  </si>
  <si>
    <t xml:space="preserve">Chattanooga Red Wolves SC</t>
  </si>
  <si>
    <t xml:space="preserve">https://www.chattanoogaredwolves-sc.com/news/2026/07/01/chattanooga-red-wolves-sc-extend-christian-engmann-through-the-2026-season/</t>
  </si>
  <si>
    <t xml:space="preserve">Chattanooga extended Christian Engmann through the 2026 USL League One season after his initial contract.</t>
  </si>
  <si>
    <t xml:space="preserve">https://goaztecs.com/sports/mens-soccer/roster/season/2025</t>
  </si>
  <si>
    <t xml:space="preserve">Escorcia, Daniel</t>
  </si>
  <si>
    <t xml:space="preserve">Etienne, Omre</t>
  </si>
  <si>
    <t xml:space="preserve">Saint Peter's University</t>
  </si>
  <si>
    <t xml:space="preserve">Columbus Crew, TSF Academy</t>
  </si>
  <si>
    <t xml:space="preserve">https://saintpeterspeacocks.com/sports/mens-soccer/roster/omre-etienne/6814</t>
  </si>
  <si>
    <t xml:space="preserve">Official 2025 Saint Peter's roster</t>
  </si>
  <si>
    <t xml:space="preserve">Fava, Luca</t>
  </si>
  <si>
    <t xml:space="preserve">https://usdtoreros.com/sports/mens-soccer/roster/</t>
  </si>
  <si>
    <t xml:space="preserve">Official San Diego 2026 roster lists Luca Fava as a junior.</t>
  </si>
  <si>
    <t xml:space="preserve">https://usdtoreros.com/sports/mens-soccer/roster/2025</t>
  </si>
  <si>
    <t xml:space="preserve">Ferguson, Mitch</t>
  </si>
  <si>
    <t xml:space="preserve">Fernandez Kim, Lucas</t>
  </si>
  <si>
    <t xml:space="preserve">Portland Timbers 2</t>
  </si>
  <si>
    <t xml:space="preserve">Graduate</t>
  </si>
  <si>
    <t xml:space="preserve">Finn, Jackson</t>
  </si>
  <si>
    <t xml:space="preserve">Biola University</t>
  </si>
  <si>
    <t xml:space="preserve">https://athletics.biola.edu/sports/mens-soccer/roster/jackson-finn/8436</t>
  </si>
  <si>
    <t xml:space="preserve">Fisher, Ben</t>
  </si>
  <si>
    <t xml:space="preserve">https://charlotte49ers.com/sports/mens-soccer/roster/ben-fisher/11844</t>
  </si>
  <si>
    <t xml:space="preserve">Official Charlotte 2026 spring roster lists Ben Fisher.</t>
  </si>
  <si>
    <t xml:space="preserve">Flanagan, Jack</t>
  </si>
  <si>
    <t xml:space="preserve">https://fightingirish.com/roster/jack-flanagan/</t>
  </si>
  <si>
    <t xml:space="preserve">Notre Dame's 2026-27 roster lists Jack Flanagan as a senior.</t>
  </si>
  <si>
    <t xml:space="preserve">Floki Stephensen, Olafur</t>
  </si>
  <si>
    <t xml:space="preserve">https://clemsontigers.com/sports/mens-soccer/roster</t>
  </si>
  <si>
    <t xml:space="preserve">Official Clemson 2025-26 roster lists Olafur Floki Stephensen.</t>
  </si>
  <si>
    <t xml:space="preserve">https://clemsontigers.com/sports/mens-soccer/roster/floki-stephensen/</t>
  </si>
  <si>
    <t xml:space="preserve">Official Clemson roster/player bio</t>
  </si>
  <si>
    <t xml:space="preserve">Flowers, Quentin</t>
  </si>
  <si>
    <t xml:space="preserve">Indiana University Indianapolis</t>
  </si>
  <si>
    <t xml:space="preserve">Columbus Crew</t>
  </si>
  <si>
    <t xml:space="preserve">https://iuindyjags.com/sports/mens-soccer/roster/quentin-flowers/8363</t>
  </si>
  <si>
    <t xml:space="preserve">Forcelini, Cooper</t>
  </si>
  <si>
    <t xml:space="preserve">St. Louis CITY SC</t>
  </si>
  <si>
    <t xml:space="preserve">Forfor, Eyifehn</t>
  </si>
  <si>
    <t xml:space="preserve">California State University Northridge</t>
  </si>
  <si>
    <t xml:space="preserve">https://gomatadors.com/sports/mens-soccer/roster/eyifehn-forfor/6846</t>
  </si>
  <si>
    <t xml:space="preserve">Fornes, Bruno</t>
  </si>
  <si>
    <t xml:space="preserve">Lindenwood University</t>
  </si>
  <si>
    <t xml:space="preserve">https://lindenwoodlions.com/sports/mens-soccer/roster/bruno-fornes/29082</t>
  </si>
  <si>
    <t xml:space="preserve">Fravolini Whitchurch, Giuliano</t>
  </si>
  <si>
    <t xml:space="preserve">LAFC</t>
  </si>
  <si>
    <t xml:space="preserve">LAFC 2</t>
  </si>
  <si>
    <t xml:space="preserve">Friedberg, Ryan</t>
  </si>
  <si>
    <t xml:space="preserve">Friedman, Jakob</t>
  </si>
  <si>
    <t xml:space="preserve">Monmouth University</t>
  </si>
  <si>
    <t xml:space="preserve">https://www.mnufc.com/mnufc2/news/mnufc2-signs-midfielder-jakob-friedman</t>
  </si>
  <si>
    <t xml:space="preserve">MNUFC2 announced Jakob Friedman signed a one-year MLS NEXT Pro contract.</t>
  </si>
  <si>
    <t xml:space="preserve">https://monmouthhawks.com/sports/mens-soccer/roster/jakob-friedman/19466</t>
  </si>
  <si>
    <t xml:space="preserve">Fritz, Kimito</t>
  </si>
  <si>
    <t xml:space="preserve">Greenville Triumph SC</t>
  </si>
  <si>
    <t xml:space="preserve">https://www.greenvilletriumph.com/news/2026/01/30/triumph-add-rookie-defender-kimito-fritz/</t>
  </si>
  <si>
    <t xml:space="preserve">Greenville Triumph announced Kimito Fritz signed a professional contract for 2026.</t>
  </si>
  <si>
    <t xml:space="preserve">https://uncgspartans.com/sports/mens-soccer/roster/2025</t>
  </si>
  <si>
    <t xml:space="preserve">Frogson, Callum</t>
  </si>
  <si>
    <t xml:space="preserve">Brooklyn FC</t>
  </si>
  <si>
    <t xml:space="preserve">https://www.brooklynfootballclub.com/news/2026/03/06/callum-frogson-signs/</t>
  </si>
  <si>
    <t xml:space="preserve">Brooklyn FC announced Callum Frogson signed for its 2026 men's professional side.</t>
  </si>
  <si>
    <t xml:space="preserve">Gajadhar, Jason</t>
  </si>
  <si>
    <t xml:space="preserve">Northwestern University</t>
  </si>
  <si>
    <t xml:space="preserve">https://nusports.com/sports/mens-soccer/roster/jason-gajadhar/12640</t>
  </si>
  <si>
    <t xml:space="preserve">Garnette, Micaah</t>
  </si>
  <si>
    <t xml:space="preserve">https://www.whitecapsfc.com/news/wfc2-sign-defender-micaah-garnette</t>
  </si>
  <si>
    <t xml:space="preserve">Vancouver Whitecaps announced Micaah Garnette signed a WFC2 MLS NEXT Pro contract through 2026.</t>
  </si>
  <si>
    <t xml:space="preserve">https://portlandpilots.com/sports/mens-soccer/roster/2025</t>
  </si>
  <si>
    <t xml:space="preserve">Geho, Brady</t>
  </si>
  <si>
    <t xml:space="preserve">University of Maryland Baltimore County</t>
  </si>
  <si>
    <t xml:space="preserve">https://umbcretrievers.com/sports/mens-soccer/roster/2025</t>
  </si>
  <si>
    <t xml:space="preserve">Gilleard-Soriano, Alfonso</t>
  </si>
  <si>
    <t xml:space="preserve">Official FIU 2026 roster lists Alfonso Gilleard-Soriano.</t>
  </si>
  <si>
    <t xml:space="preserve">Gilman, Jackson</t>
  </si>
  <si>
    <t xml:space="preserve">Godinho, Aidan</t>
  </si>
  <si>
    <t xml:space="preserve">CF Montréal</t>
  </si>
  <si>
    <t xml:space="preserve">Gogo Peters, Jamin</t>
  </si>
  <si>
    <t xml:space="preserve">Rhode Island FC</t>
  </si>
  <si>
    <t xml:space="preserve">https://www.rhodeislandfc.com/news/rhode-island-fc-signs-former-brown-university-forward-jamin-gogo-peters/</t>
  </si>
  <si>
    <t xml:space="preserve">Rhode Island FC announced Jamin Gogo Peters signed for the 2026 USL Championship season.</t>
  </si>
  <si>
    <t xml:space="preserve">https://brownbears.com/sports/mens-soccer/roster/gogo-peters-jamin/22518</t>
  </si>
  <si>
    <t xml:space="preserve">Official Brown player bio</t>
  </si>
  <si>
    <t xml:space="preserve">Gold, Noah</t>
  </si>
  <si>
    <t xml:space="preserve">https://cofcsports.com/sports/mens-soccer/roster/noah-gold/7717</t>
  </si>
  <si>
    <t xml:space="preserve">Gonzalez, Aiden</t>
  </si>
  <si>
    <t xml:space="preserve">Lehigh University</t>
  </si>
  <si>
    <t xml:space="preserve">Sporting Athletic Club</t>
  </si>
  <si>
    <t xml:space="preserve">https://lehighsports.com/sports/mens-soccer/roster</t>
  </si>
  <si>
    <t xml:space="preserve">Official Lehigh 2026 roster lists Aiden Gonzalez.</t>
  </si>
  <si>
    <t xml:space="preserve">https://lehighsports.com/sports/mens-soccer/roster/gonzalez-aiden/20112</t>
  </si>
  <si>
    <t xml:space="preserve">Gosch, Bryson</t>
  </si>
  <si>
    <t xml:space="preserve">https://kcroos.com/sports/mens-soccer/roster/bryson-gosch/5163</t>
  </si>
  <si>
    <t xml:space="preserve">Official Kansas City 2026 roster lists Bryson Gosch as a redshirt senior.</t>
  </si>
  <si>
    <t xml:space="preserve">https://kcroos.com/sports/mens-soccer/roster/bryson-gosch/4833</t>
  </si>
  <si>
    <t xml:space="preserve">Goulding, Benjamin</t>
  </si>
  <si>
    <t xml:space="preserve">Gozo, Elijah</t>
  </si>
  <si>
    <t xml:space="preserve">https://gouvu.com/sports/mens-soccer/roster/2025</t>
  </si>
  <si>
    <t xml:space="preserve">Grant, Toby</t>
  </si>
  <si>
    <t xml:space="preserve">Penn State University</t>
  </si>
  <si>
    <t xml:space="preserve">Redshirt Freshman</t>
  </si>
  <si>
    <t xml:space="preserve">https://gopsusports.com/sports/mens-soccer/roster/player/toby-grant</t>
  </si>
  <si>
    <t xml:space="preserve">Official Penn State 2026 roster lists Toby Grant after transferring from Vermont.</t>
  </si>
  <si>
    <t xml:space="preserve">https://uvmathletics.com/sports/mens-soccer/roster/toby-grant/11754</t>
  </si>
  <si>
    <t xml:space="preserve">Griffith, Colin</t>
  </si>
  <si>
    <t xml:space="preserve">Groeneveld, Dylan</t>
  </si>
  <si>
    <t xml:space="preserve">Official Stanford 2026 roster lists Dylan Groeneveld as a senior.</t>
  </si>
  <si>
    <t xml:space="preserve">https://gostanford.com/sports/mens-soccer/roster/season/2025</t>
  </si>
  <si>
    <t xml:space="preserve">Gueye, Yusef</t>
  </si>
  <si>
    <t xml:space="preserve">https://lehighsports.com/sports/mens-soccer/roster/2025</t>
  </si>
  <si>
    <t xml:space="preserve">Guske, Liam</t>
  </si>
  <si>
    <t xml:space="preserve">Seton Hall University</t>
  </si>
  <si>
    <t xml:space="preserve">https://shupirates.com/sports/mens-soccer/roster/liam-guske/7278</t>
  </si>
  <si>
    <t xml:space="preserve">Official 2025 Seton Hall roster</t>
  </si>
  <si>
    <t xml:space="preserve">Gyamfi, Osei</t>
  </si>
  <si>
    <t xml:space="preserve">Official UNCW 2026 roster lists Osei Gyamfi.</t>
  </si>
  <si>
    <t xml:space="preserve">Gyan, Ransford</t>
  </si>
  <si>
    <t xml:space="preserve">Hall, Noah</t>
  </si>
  <si>
    <t xml:space="preserve">https://virginiasports.com/sports/msoc/roster/player/noah-hall</t>
  </si>
  <si>
    <t xml:space="preserve">Hammond, Luke</t>
  </si>
  <si>
    <t xml:space="preserve">Seattle University</t>
  </si>
  <si>
    <t xml:space="preserve">https://goseattleu.com/sports/mens-soccer/roster/season/2025</t>
  </si>
  <si>
    <t xml:space="preserve">Hardin, Ethan</t>
  </si>
  <si>
    <t xml:space="preserve">https://athletics.biola.edu/sports/mens-soccer/roster/ethan--hardin/8422</t>
  </si>
  <si>
    <t xml:space="preserve">Hart, Mason</t>
  </si>
  <si>
    <t xml:space="preserve">https://charlotte49ers.com/sports/mens-soccer/roster/mason-hart/13143</t>
  </si>
  <si>
    <t xml:space="preserve">Official Charlotte 2026 spring roster lists Mason Hart.</t>
  </si>
  <si>
    <t xml:space="preserve">Haruna, Issah</t>
  </si>
  <si>
    <t xml:space="preserve">Orlando City B</t>
  </si>
  <si>
    <t xml:space="preserve">Healy, Taig</t>
  </si>
  <si>
    <t xml:space="preserve">https://www.fortwaynefc.com/news/2026/01/20/taig-healy-fresh-off-stellar-college-cup-joins-club/</t>
  </si>
  <si>
    <t xml:space="preserve">Fort Wayne FC announced Taig Healy joined the club for its first professional USL League One season.</t>
  </si>
  <si>
    <t xml:space="preserve">https://gopack.com/sports/soccer/roster/healy-taig/13088</t>
  </si>
  <si>
    <t xml:space="preserve">Heffess, Isaac</t>
  </si>
  <si>
    <t xml:space="preserve">Helfrich, Matthew</t>
  </si>
  <si>
    <t xml:space="preserve">Herceg, Niklas</t>
  </si>
  <si>
    <t xml:space="preserve">Hernandez, Miguel-Angel</t>
  </si>
  <si>
    <t xml:space="preserve">https://portlandpilots.com/sports/mens-soccer/roster</t>
  </si>
  <si>
    <t xml:space="preserve">Official Portland 2026 roster lists Miguel-Angel Hernandez.</t>
  </si>
  <si>
    <t xml:space="preserve">https://portlandpilots.com/sports/mens-soccer/roster/miguel-angel-hernandez/9801</t>
  </si>
  <si>
    <t xml:space="preserve">Herrera, D'Alessandro</t>
  </si>
  <si>
    <t xml:space="preserve">Houston Christian University</t>
  </si>
  <si>
    <t xml:space="preserve">https://www.houstondynamofc.com/news/houston-dynamo-2-signs-alief-houston-native-d-alessandro-herrera-to-mls-next-pro-contract</t>
  </si>
  <si>
    <t xml:space="preserve">Houston Dynamo 2 announced D'Alessandro Herrera signed an MLS NEXT Pro contract.</t>
  </si>
  <si>
    <t xml:space="preserve">https://hcuhuskies.com/sports/mens-soccer/roster/d-alessandro-herrera/6664</t>
  </si>
  <si>
    <t xml:space="preserve">Hestad, Asher</t>
  </si>
  <si>
    <t xml:space="preserve">Highfield, Joe</t>
  </si>
  <si>
    <t xml:space="preserve">Hjalmarsson, Anton</t>
  </si>
  <si>
    <t xml:space="preserve">Official Portland 2026 roster lists Anton Hjalmarsson.</t>
  </si>
  <si>
    <t xml:space="preserve">Holmes, Ryan</t>
  </si>
  <si>
    <t xml:space="preserve">Marshall University</t>
  </si>
  <si>
    <t xml:space="preserve">https://herdzone.com/sports/mens-soccer/roster/ryan-holmes/7535</t>
  </si>
  <si>
    <t xml:space="preserve">Official 2025 Marshall roster</t>
  </si>
  <si>
    <t xml:space="preserve">Holmstrom, Noah</t>
  </si>
  <si>
    <t xml:space="preserve">Georgia Southern University</t>
  </si>
  <si>
    <t xml:space="preserve">https://smumustangs.com/sports/mens-soccer/roster</t>
  </si>
  <si>
    <t xml:space="preserve">Official SMU 2026 roster lists Noah Holmstrom after transferring from Georgia Southern.</t>
  </si>
  <si>
    <t xml:space="preserve">https://gseagles.com/sports/mens-soccer/roster/2025</t>
  </si>
  <si>
    <t xml:space="preserve">Holt, Roman</t>
  </si>
  <si>
    <t xml:space="preserve">Hooper, Dylan</t>
  </si>
  <si>
    <t xml:space="preserve">Hormozi, Bardia</t>
  </si>
  <si>
    <t xml:space="preserve">Official Princeton 2026 roster lists Bardia Hormozi.</t>
  </si>
  <si>
    <t xml:space="preserve">Hot, Kenan</t>
  </si>
  <si>
    <t xml:space="preserve">Red Bull New York, New York City FC</t>
  </si>
  <si>
    <t xml:space="preserve">Hrvojevic, Markie</t>
  </si>
  <si>
    <t xml:space="preserve">University of Wisconsin</t>
  </si>
  <si>
    <t xml:space="preserve">Chicago FC United</t>
  </si>
  <si>
    <t xml:space="preserve">https://uwbadgers.com/sports/mens-soccer/roster/2026</t>
  </si>
  <si>
    <t xml:space="preserve">Official Wisconsin 2026 roster lists Markie Hrvojevic.</t>
  </si>
  <si>
    <t xml:space="preserve">https://uwbadgers.com/sports/mens-soccer/roster/2025</t>
  </si>
  <si>
    <t xml:space="preserve">Huggins, Avery</t>
  </si>
  <si>
    <t xml:space="preserve">https://goaztecs.com/sports/mens-soccer/roster/player/avery-huggins</t>
  </si>
  <si>
    <t xml:space="preserve">Official San Diego State 2026 roster lists Avery Huggins after transferring from Cal State Fullerton.</t>
  </si>
  <si>
    <t xml:space="preserve">https://fullertontitans.com/sports/mens-soccer/roster/avery-huggins/5578</t>
  </si>
  <si>
    <t xml:space="preserve">Official 2025 Cal State Fullerton roster</t>
  </si>
  <si>
    <t xml:space="preserve">Hunt, Jack</t>
  </si>
  <si>
    <t xml:space="preserve">Official Princeton 2026 roster lists Jack Hunt.</t>
  </si>
  <si>
    <t xml:space="preserve">https://goprincetontigers.com/sports/mens-soccer/roster/2025</t>
  </si>
  <si>
    <t xml:space="preserve">Hut, Tomas</t>
  </si>
  <si>
    <t xml:space="preserve">Syracuse University</t>
  </si>
  <si>
    <t xml:space="preserve">New York Red Bulls</t>
  </si>
  <si>
    <t xml:space="preserve">New York Red Bulls II</t>
  </si>
  <si>
    <t xml:space="preserve">Hutzel, Luke</t>
  </si>
  <si>
    <t xml:space="preserve">Furman University</t>
  </si>
  <si>
    <t xml:space="preserve">Ibrahim, Mohammed</t>
  </si>
  <si>
    <t xml:space="preserve">Virginia Commonwealth University</t>
  </si>
  <si>
    <t xml:space="preserve">https://vcuathletics.com/sports/mens-soccer/roster</t>
  </si>
  <si>
    <t xml:space="preserve">Official VCU 2026 roster lists Mohammed Ibrahim.</t>
  </si>
  <si>
    <t xml:space="preserve">https://vcuathletics.com/sports/mens-soccer/roster/2025</t>
  </si>
  <si>
    <t xml:space="preserve">Iniguez, Angel</t>
  </si>
  <si>
    <t xml:space="preserve">San Francisco Glens</t>
  </si>
  <si>
    <t xml:space="preserve">Jallow, Omar</t>
  </si>
  <si>
    <t xml:space="preserve">Southern Soccer Academy</t>
  </si>
  <si>
    <t xml:space="preserve">https://www.insidenu.com/northwestern-mens-soccer/69096/northwestern-mens-soccer-roster-preview</t>
  </si>
  <si>
    <t xml:space="preserve">Current 2026 Northwestern roster preview identifies Omar Jallow among returning attackers.</t>
  </si>
  <si>
    <t xml:space="preserve">https://nusports.com/sports/mens-soccer/roster/omar-jallow/12659</t>
  </si>
  <si>
    <t xml:space="preserve">James, Noah</t>
  </si>
  <si>
    <t xml:space="preserve">Official San Diego 2026 roster lists Noah James as a senior.</t>
  </si>
  <si>
    <t xml:space="preserve">Jasinski, Jack</t>
  </si>
  <si>
    <t xml:space="preserve">San Jose Earthquakes</t>
  </si>
  <si>
    <t xml:space="preserve">Jiana, Mamadi</t>
  </si>
  <si>
    <t xml:space="preserve">Johnson, Mikey</t>
  </si>
  <si>
    <t xml:space="preserve">University of Delaware</t>
  </si>
  <si>
    <t xml:space="preserve">https://bluehens.com/sports/mens-soccer/roster/johnson-mikey/32158</t>
  </si>
  <si>
    <t xml:space="preserve">Official Delaware 2026 roster lists Mikey Johnson as a graduate student.</t>
  </si>
  <si>
    <t xml:space="preserve">https://bluehens.com/sports/mens-soccer/roster/mikey-johnson/26767</t>
  </si>
  <si>
    <t xml:space="preserve">Johnson, Koven</t>
  </si>
  <si>
    <t xml:space="preserve">Barca Residency Academy</t>
  </si>
  <si>
    <t xml:space="preserve">Joseph, Samuel</t>
  </si>
  <si>
    <t xml:space="preserve">https://hokiesports.com/sports/mens-soccer/roster/player/sam-joseph</t>
  </si>
  <si>
    <t xml:space="preserve">Juarez, Allan</t>
  </si>
  <si>
    <t xml:space="preserve">https://calbears.com/sports/mens-soccer/roster/allan-juarez/22737</t>
  </si>
  <si>
    <t xml:space="preserve">Official 2025 Cal roster</t>
  </si>
  <si>
    <t xml:space="preserve">Junior, Florentino</t>
  </si>
  <si>
    <t xml:space="preserve">James Madison University</t>
  </si>
  <si>
    <t xml:space="preserve">https://jmusports.com/sports/mens-soccer/roster/2025</t>
  </si>
  <si>
    <t xml:space="preserve">Official 2025 James Madison roster</t>
  </si>
  <si>
    <t xml:space="preserve">Kamdem, Ashton</t>
  </si>
  <si>
    <t xml:space="preserve">Crown Legacy FC</t>
  </si>
  <si>
    <t xml:space="preserve">https://www.charlottefootballclub.com/clfc/news/crown-legacy-fc-signs-defender-ashton-kamdem</t>
  </si>
  <si>
    <t xml:space="preserve">Crown Legacy FC announced Ashton Kamdem signed an MLS NEXT Pro contract through 2026 with club options.</t>
  </si>
  <si>
    <t xml:space="preserve">Kamienski, Drew</t>
  </si>
  <si>
    <t xml:space="preserve">University of California Santa Barbara</t>
  </si>
  <si>
    <t xml:space="preserve">https://ucsbgauchos.com/sports/mens-soccer/roster</t>
  </si>
  <si>
    <t xml:space="preserve">Official UCSB 2025-26 spring roster lists Drew Kamienski.</t>
  </si>
  <si>
    <t xml:space="preserve">https://ucsbgauchos.com/sports/mens-soccer/roster/drew-kamienski/7938</t>
  </si>
  <si>
    <t xml:space="preserve">Kamrath, Lukas</t>
  </si>
  <si>
    <t xml:space="preserve">Chargers Soccer Club, Tampa Bay United</t>
  </si>
  <si>
    <t xml:space="preserve">Redshirt Sophomore</t>
  </si>
  <si>
    <t xml:space="preserve">https://www.mlssoccer.com/players/lukas-kamrath/</t>
  </si>
  <si>
    <t xml:space="preserve">MLSsoccer lists Lukas Kamrath as a current CT United FC defender in MLS NEXT Pro.</t>
  </si>
  <si>
    <t xml:space="preserve">Karumanchi, Tarun</t>
  </si>
  <si>
    <t xml:space="preserve">Kaufmann, Oskar</t>
  </si>
  <si>
    <t xml:space="preserve">University of South Carolina Upstate</t>
  </si>
  <si>
    <t xml:space="preserve">Official Portland 2026 roster lists Oskar Kaufmann after transferring from USC Upstate.</t>
  </si>
  <si>
    <t xml:space="preserve">https://upstatespartans.com/sports/mens-soccer/roster/kaufmann-oskar/6370</t>
  </si>
  <si>
    <t xml:space="preserve">Kauschke, Til</t>
  </si>
  <si>
    <t xml:space="preserve">https://shupirates.com/sports/mens-soccer/roster</t>
  </si>
  <si>
    <t xml:space="preserve">Official Seton Hall 2026 roster lists Til Kauschke.</t>
  </si>
  <si>
    <t xml:space="preserve">https://shupirates.com/sports/mens-soccer/roster/2025</t>
  </si>
  <si>
    <t xml:space="preserve">Keller, Collin</t>
  </si>
  <si>
    <t xml:space="preserve">https://denverpioneers.com/sports/mens-soccer/roster/collin-keller/3998</t>
  </si>
  <si>
    <t xml:space="preserve">Official Denver 2026 roster lists Collin Keller.</t>
  </si>
  <si>
    <t xml:space="preserve">Official Denver player history</t>
  </si>
  <si>
    <t xml:space="preserve">Kelly, Zac</t>
  </si>
  <si>
    <t xml:space="preserve">Michigan State University</t>
  </si>
  <si>
    <t xml:space="preserve">https://msuspartans.com/sports/mens-soccer/roster/2025</t>
  </si>
  <si>
    <t xml:space="preserve">Kelly, Keegan</t>
  </si>
  <si>
    <t xml:space="preserve">https://denverpioneers.com/sports/mens-soccer/roster</t>
  </si>
  <si>
    <t xml:space="preserve">Official University of Denver 2026 men's soccer roster lists the player, confirming a return to college for the 2026 season.</t>
  </si>
  <si>
    <t xml:space="preserve">https://denverpioneers.com/sports/mens-soccer/roster/keegan-kelly/5858</t>
  </si>
  <si>
    <t xml:space="preserve">Kelp, Lasse</t>
  </si>
  <si>
    <t xml:space="preserve">Kenison, Alec</t>
  </si>
  <si>
    <t xml:space="preserve">Northeastern University</t>
  </si>
  <si>
    <t xml:space="preserve">https://nuhuskies.com/sports/mens-soccer/roster/2025</t>
  </si>
  <si>
    <t xml:space="preserve">Kinsella, Nolan</t>
  </si>
  <si>
    <t xml:space="preserve">Chicago FC United, Indy Eleven</t>
  </si>
  <si>
    <t xml:space="preserve">Kipnusu, Preston</t>
  </si>
  <si>
    <t xml:space="preserve">Drake University</t>
  </si>
  <si>
    <t xml:space="preserve">https://godrakebulldogs.com/sports/mens-soccer/roster</t>
  </si>
  <si>
    <t xml:space="preserve">Official Drake 2026 roster lists Preston Kipnusu.</t>
  </si>
  <si>
    <t xml:space="preserve">https://godrakebulldogs.com/sports/mens-soccer/roster/preston-kipnusu/10150</t>
  </si>
  <si>
    <t xml:space="preserve">Official 2025 Drake roster</t>
  </si>
  <si>
    <t xml:space="preserve">Kissel, Maximilian</t>
  </si>
  <si>
    <t xml:space="preserve">Kolbl, Dominik</t>
  </si>
  <si>
    <t xml:space="preserve">https://cornellbigred.com/sports/mens-soccer/roster</t>
  </si>
  <si>
    <t xml:space="preserve">Official Cornell 2026 roster lists Dominik Kolbl.</t>
  </si>
  <si>
    <t xml:space="preserve">Kolby, Samy</t>
  </si>
  <si>
    <t xml:space="preserve">University of South Carolina</t>
  </si>
  <si>
    <t xml:space="preserve">https://gamecocksonline.com/sports/msoc/roster/</t>
  </si>
  <si>
    <t xml:space="preserve">Official South Carolina 2026 spring roster lists Samy Kolby.</t>
  </si>
  <si>
    <t xml:space="preserve">https://gamecocksonline.com/sports/msoc/roster/player/samy-kolby/</t>
  </si>
  <si>
    <t xml:space="preserve">Official South Carolina bio explicitly lists 2025 as Redshirt Junior</t>
  </si>
  <si>
    <t xml:space="preserve">Kosakoff, Charlie</t>
  </si>
  <si>
    <t xml:space="preserve">https://www.lafc.com/lafc2/news/lafc2-signs-forward-charlie-kosakoff</t>
  </si>
  <si>
    <t xml:space="preserve">LAFC2 announced Charlie Kosakoff signed through 2026 with an option for 2027.</t>
  </si>
  <si>
    <t xml:space="preserve">https://gohuskies.com/sports/mens-soccer/roster/kosakoff-charlie/16991</t>
  </si>
  <si>
    <t xml:space="preserve">Kossehasse, Freddy</t>
  </si>
  <si>
    <t xml:space="preserve">Official Akron 2026 roster lists Freddy Kossehasse as a senior.</t>
  </si>
  <si>
    <t xml:space="preserve">Koulai, Djibognihou</t>
  </si>
  <si>
    <t xml:space="preserve">Bradley University</t>
  </si>
  <si>
    <t xml:space="preserve">https://bradleybraves.com/sports/mens-soccer/roster/dj-koulai/13362</t>
  </si>
  <si>
    <t xml:space="preserve">Official 2025 Bradley roster; listed as DJ Koulai</t>
  </si>
  <si>
    <t xml:space="preserve">Kropp, Dylan</t>
  </si>
  <si>
    <t xml:space="preserve">Columbus Crew, Indy Eleven</t>
  </si>
  <si>
    <t xml:space="preserve">Real Monarchs</t>
  </si>
  <si>
    <t xml:space="preserve">Krueger, Brendan</t>
  </si>
  <si>
    <t xml:space="preserve">Chargers Soccer Club</t>
  </si>
  <si>
    <t xml:space="preserve">Lachekar, Sami</t>
  </si>
  <si>
    <t xml:space="preserve">FC Cincinnati 2</t>
  </si>
  <si>
    <t xml:space="preserve">https://www.fccincinnati.com/news/fc-cincinnati-2-sign-defender-sami-lachekar</t>
  </si>
  <si>
    <t xml:space="preserve">FC Cincinnati 2 announced Sami Lachekar signed an MLS NEXT Pro contract.</t>
  </si>
  <si>
    <t xml:space="preserve">https://uncgspartans.com/sports/mens-soccer/roster/sami-lachekar/5904</t>
  </si>
  <si>
    <t xml:space="preserve">Lagos, Jackson</t>
  </si>
  <si>
    <t xml:space="preserve">Lajhar, Ayoub</t>
  </si>
  <si>
    <t xml:space="preserve">Landsperg, Villads</t>
  </si>
  <si>
    <t xml:space="preserve">Official Southern Methodist University 2026 men's soccer roster lists the player, confirming a return to college for the 2026 season.</t>
  </si>
  <si>
    <t xml:space="preserve">Lanphier, Charlie</t>
  </si>
  <si>
    <t xml:space="preserve">Las Vegas Lights FC</t>
  </si>
  <si>
    <t xml:space="preserve">https://www.uslchampionship.com/news_article/show/1356880</t>
  </si>
  <si>
    <t xml:space="preserve">USL Championship announced Charlie Lanphier signed his first professional contract with Las Vegas Lights FC.</t>
  </si>
  <si>
    <t xml:space="preserve">Lavielle, Luc</t>
  </si>
  <si>
    <t xml:space="preserve">Campbell University</t>
  </si>
  <si>
    <t xml:space="preserve">https://charlotte49ers.com/sports/mens-soccer/roster/luc-lavielle/13153</t>
  </si>
  <si>
    <t xml:space="preserve">Official Charlotte 2026 spring roster lists Luc Lavielle after transferring from Campbell.</t>
  </si>
  <si>
    <t xml:space="preserve">https://gocamels.com/sports/mens-soccer/roster/luc-lavielle/10610</t>
  </si>
  <si>
    <t xml:space="preserve">Official 2025 Campbell roster</t>
  </si>
  <si>
    <t xml:space="preserve">Lawson, William</t>
  </si>
  <si>
    <t xml:space="preserve">https://cbulancers.com/sports/mens-soccer/roster/william-lawson/10753</t>
  </si>
  <si>
    <t xml:space="preserve">Le Bourdoulous, Julien</t>
  </si>
  <si>
    <t xml:space="preserve">https://uncgspartans.com/sports/mens-soccer/roster/julien-le-bourdoulous/5905</t>
  </si>
  <si>
    <t xml:space="preserve">Leavitt, Jackson</t>
  </si>
  <si>
    <t xml:space="preserve">Elon University</t>
  </si>
  <si>
    <t xml:space="preserve">https://elonphoenix.com/sports/mens-soccer/roster/2025</t>
  </si>
  <si>
    <t xml:space="preserve">Legendre, Nicholas</t>
  </si>
  <si>
    <t xml:space="preserve">University of Nevada Las Vegas</t>
  </si>
  <si>
    <t xml:space="preserve">Lenert, Matt</t>
  </si>
  <si>
    <t xml:space="preserve">Official College of Charleston 2026 roster lists Matt Lenert.</t>
  </si>
  <si>
    <t xml:space="preserve">https://cofcsports.com/sports/mens-soccer/roster/2025</t>
  </si>
  <si>
    <t xml:space="preserve">Lenhard, Jacob</t>
  </si>
  <si>
    <t xml:space="preserve">Stetson University</t>
  </si>
  <si>
    <t xml:space="preserve">Orlando City, Orlando City Youth Soccer</t>
  </si>
  <si>
    <t xml:space="preserve">https://gohatters.com/sports/mens-soccer/roster/2025</t>
  </si>
  <si>
    <t xml:space="preserve">Official 2025 Stetson roster</t>
  </si>
  <si>
    <t xml:space="preserve">Leon, Edgar</t>
  </si>
  <si>
    <t xml:space="preserve">https://goseattleu.com/sports/mens-soccer/roster</t>
  </si>
  <si>
    <t xml:space="preserve">Official Seattle 2026 roster lists Edgar Leon.</t>
  </si>
  <si>
    <t xml:space="preserve">Letayf, Diego</t>
  </si>
  <si>
    <t xml:space="preserve">Lewis, Wyatt</t>
  </si>
  <si>
    <t xml:space="preserve">Official Washington 2026 roster lists Wyatt Lewis as a graduate student.</t>
  </si>
  <si>
    <t xml:space="preserve">https://fightingirish.com/roster/wyatt-lewis/</t>
  </si>
  <si>
    <t xml:space="preserve">Lillington, Zack</t>
  </si>
  <si>
    <t xml:space="preserve">University of California Davis</t>
  </si>
  <si>
    <t xml:space="preserve">Lockermann, Nick</t>
  </si>
  <si>
    <t xml:space="preserve">https://goheels.com/sports/mens-soccer/roster/nick-lockermann/28228</t>
  </si>
  <si>
    <t xml:space="preserve">Official UNC 2026 roster lists Nick Lockermann after transferring from Vermont.</t>
  </si>
  <si>
    <t xml:space="preserve">https://uvmathletics.com/sports/mens-soccer/roster/nick-lockermann/11760</t>
  </si>
  <si>
    <t xml:space="preserve">Lofy, Connor</t>
  </si>
  <si>
    <t xml:space="preserve">Long, Zion</t>
  </si>
  <si>
    <t xml:space="preserve">https://uiwcardinals.com/sports/mens-soccer/roster</t>
  </si>
  <si>
    <t xml:space="preserve">Official UIW 2026 roster lists Zion Long as a redshirt senior.</t>
  </si>
  <si>
    <t xml:space="preserve">Longo, Daniel</t>
  </si>
  <si>
    <t xml:space="preserve">https://uncgspartans.com/sports/mens-soccer/roster</t>
  </si>
  <si>
    <t xml:space="preserve">Official UNCG 2026 spring roster lists Daniel Longo.</t>
  </si>
  <si>
    <t xml:space="preserve">https://uncgspartans.com/sports/mens-soccer/roster/daniel-longo/6228</t>
  </si>
  <si>
    <t xml:space="preserve">Lopez, Milton</t>
  </si>
  <si>
    <t xml:space="preserve">Lopez, Agustin</t>
  </si>
  <si>
    <t xml:space="preserve">https://ukathletics.com/sports/msoc/roster/</t>
  </si>
  <si>
    <t xml:space="preserve">Official Kentucky 2026 roster lists Agustin Lopez.</t>
  </si>
  <si>
    <t xml:space="preserve">https://ukathletics.com/sports/msoc/roster/player/agustin-lopez/</t>
  </si>
  <si>
    <t xml:space="preserve">Official Kentucky bio explicitly lists 2025 as Sophomore</t>
  </si>
  <si>
    <t xml:space="preserve">Lopez-Rosales, Diego</t>
  </si>
  <si>
    <t xml:space="preserve">Lorentz, Tate</t>
  </si>
  <si>
    <t xml:space="preserve">Wake Forest University</t>
  </si>
  <si>
    <t xml:space="preserve">https://godeacs.com/sports/mens-soccer/roster/</t>
  </si>
  <si>
    <t xml:space="preserve">Official Wake Forest University 2026 men's soccer roster lists the player, confirming a return to college for the 2026 season.</t>
  </si>
  <si>
    <t xml:space="preserve">Louis, Ricardo (Ricky)</t>
  </si>
  <si>
    <t xml:space="preserve">Lovelace, Drew</t>
  </si>
  <si>
    <t xml:space="preserve">Wake FC</t>
  </si>
  <si>
    <t xml:space="preserve">https://gopack.com/sports/soccer/roster/drew-lovelace/15332</t>
  </si>
  <si>
    <t xml:space="preserve">Official NC State 2026 spring roster lists Drew Lovelace as a graduate student.</t>
  </si>
  <si>
    <t xml:space="preserve">Lowell, Jamie</t>
  </si>
  <si>
    <t xml:space="preserve">Marist University</t>
  </si>
  <si>
    <t xml:space="preserve">https://goredfoxes.com/sports/mens-soccer/roster/jamie-lowell/17063</t>
  </si>
  <si>
    <t xml:space="preserve">Official 2025 Marist roster</t>
  </si>
  <si>
    <t xml:space="preserve">Luala, Martin</t>
  </si>
  <si>
    <t xml:space="preserve">Grand Canyon University</t>
  </si>
  <si>
    <t xml:space="preserve">https://gculopes.com/sports/mens-soccer/roster/martin-luala/14707</t>
  </si>
  <si>
    <t xml:space="preserve">Official GCU 2026 roster lists Martin Luala as a senior after his 2026 MLS SuperDraft selection.</t>
  </si>
  <si>
    <t xml:space="preserve">Lucas, Josh</t>
  </si>
  <si>
    <t xml:space="preserve">Lucas, Jack</t>
  </si>
  <si>
    <t xml:space="preserve">Bucknell University</t>
  </si>
  <si>
    <t xml:space="preserve">https://bucknellbison.com/sports/mens-soccer/roster</t>
  </si>
  <si>
    <t xml:space="preserve">Official Bucknell 2026 roster lists Jack Lucas.</t>
  </si>
  <si>
    <t xml:space="preserve">https://bucknellbison.com/sports/mens-soccer/roster/jack-lucas/12697</t>
  </si>
  <si>
    <t xml:space="preserve">Lugo, Daniel</t>
  </si>
  <si>
    <t xml:space="preserve">Tampa Bay United, Chargers Soccer Club</t>
  </si>
  <si>
    <t xml:space="preserve">https://highpointpanthers.com/sports/mens-soccer/roster/daniel-lugo/11515</t>
  </si>
  <si>
    <t xml:space="preserve">Official High Point 2026 roster lists Daniel Lugo as a redshirt junior.</t>
  </si>
  <si>
    <t xml:space="preserve">Mack, Laurin</t>
  </si>
  <si>
    <t xml:space="preserve">https://umterps.com/sports/mens-soccer/roster</t>
  </si>
  <si>
    <t xml:space="preserve">Official Maryland 2026 roster lists Laurin Mack.</t>
  </si>
  <si>
    <t xml:space="preserve">Magnason, Lukas</t>
  </si>
  <si>
    <t xml:space="preserve">Official Clemson 2025-26 roster lists Lukas Magnason.</t>
  </si>
  <si>
    <t xml:space="preserve">Markovic, Nikola</t>
  </si>
  <si>
    <t xml:space="preserve">Martens, Zach</t>
  </si>
  <si>
    <t xml:space="preserve">University of Michigan</t>
  </si>
  <si>
    <t xml:space="preserve">https://mgoblue.com/sports/mens-soccer/roster/zach-martens/26848</t>
  </si>
  <si>
    <t xml:space="preserve">Martin, Oliver</t>
  </si>
  <si>
    <t xml:space="preserve">https://mgoblue.com/sports/mens-soccer/roster/oliver-martin/26849</t>
  </si>
  <si>
    <t xml:space="preserve">Martinez, Nate</t>
  </si>
  <si>
    <t xml:space="preserve">https://www.stlcitysc.com/news/st-louis-city2-signs-collegiate-players-palmer-ault-jemone-barclay-and-nate-martinez-through-2026-mls-next-pro-season</t>
  </si>
  <si>
    <t xml:space="preserve">St. Louis CITY2 announced Nate Martinez signed a one-year MLS NEXT Pro contract.</t>
  </si>
  <si>
    <t xml:space="preserve">Martinez, Jonathan</t>
  </si>
  <si>
    <t xml:space="preserve">University of California Riverside</t>
  </si>
  <si>
    <t xml:space="preserve">Masereka, Sadam</t>
  </si>
  <si>
    <t xml:space="preserve">Colorado Springs Switchbacks FC</t>
  </si>
  <si>
    <t xml:space="preserve">Matingou, Troy</t>
  </si>
  <si>
    <t xml:space="preserve">Howard University</t>
  </si>
  <si>
    <t xml:space="preserve">https://hubison.com/sports/mens-soccer/roster/troy-matingou/9035</t>
  </si>
  <si>
    <t xml:space="preserve">Matshazi, Arnold</t>
  </si>
  <si>
    <t xml:space="preserve">Official Virginia 2026 spring roster lists Arnold Matshazi after transferring from San Jose State.</t>
  </si>
  <si>
    <t xml:space="preserve">Matthews, Morris</t>
  </si>
  <si>
    <t xml:space="preserve">Mayer, Bryant</t>
  </si>
  <si>
    <t xml:space="preserve">Current 2026 Northwestern roster preview identifies Bryant Mayer as a returning veteran.</t>
  </si>
  <si>
    <t xml:space="preserve">https://nusports.com/sports/mens-soccer/roster/bryant-mayer/12642</t>
  </si>
  <si>
    <t xml:space="preserve">McDaid, Joe</t>
  </si>
  <si>
    <t xml:space="preserve">Columbia University</t>
  </si>
  <si>
    <t xml:space="preserve">FC DELCO</t>
  </si>
  <si>
    <t xml:space="preserve">https://gocolumbialions.com/sports/mens-soccer/roster</t>
  </si>
  <si>
    <t xml:space="preserve">Official Columbia 2026 roster lists Joe McDaid.</t>
  </si>
  <si>
    <t xml:space="preserve">https://gocolumbialions.com/sports/soccer/roster/mcdaid-joe/20555</t>
  </si>
  <si>
    <t xml:space="preserve">McGowan, Kyle</t>
  </si>
  <si>
    <t xml:space="preserve">https://denverpioneers.com/sports/mens-soccer/roster/2026</t>
  </si>
  <si>
    <t xml:space="preserve">Official Denver 2026 roster lists Kyle McGowan as a redshirt senior.</t>
  </si>
  <si>
    <t xml:space="preserve">McLean, Justin</t>
  </si>
  <si>
    <t xml:space="preserve">McPherson, Matthew</t>
  </si>
  <si>
    <t xml:space="preserve">Dartmouth College</t>
  </si>
  <si>
    <t xml:space="preserve">Medill, George</t>
  </si>
  <si>
    <t xml:space="preserve">Temple University</t>
  </si>
  <si>
    <t xml:space="preserve">https://owlsports.com/sports/mens-soccer/roster/george-medill/18067</t>
  </si>
  <si>
    <t xml:space="preserve">Mendez, Raymundo</t>
  </si>
  <si>
    <t xml:space="preserve">https://mgoblue.com/sports/mens-soccer/roster/raymundo-mendez/26922</t>
  </si>
  <si>
    <t xml:space="preserve">Mennell, Jonny</t>
  </si>
  <si>
    <t xml:space="preserve">https://goxavier.com/sports/mens-soccer/roster/jonny-mennell/10834</t>
  </si>
  <si>
    <t xml:space="preserve">Mensah, Ishmael</t>
  </si>
  <si>
    <t xml:space="preserve">Wright State University</t>
  </si>
  <si>
    <t xml:space="preserve">https://wsuraiders.com/sports/mens-soccer/roster/ishmael-mensah/6572</t>
  </si>
  <si>
    <t xml:space="preserve">Official/current Wright State roster lists Ishmael Mensah.</t>
  </si>
  <si>
    <t xml:space="preserve">Mensah Jr., Ernest</t>
  </si>
  <si>
    <t xml:space="preserve">Sockers FC</t>
  </si>
  <si>
    <t xml:space="preserve">Portland Hearts of Pine</t>
  </si>
  <si>
    <t xml:space="preserve">https://www.heartsofpine.com/news/2026/02/24/hearts-announce-signing-of-defender-ernest-mensah-jr/</t>
  </si>
  <si>
    <t xml:space="preserve">Portland Hearts of Pine announced Ernest Mensah Jr. signed a professional contract for 2026.</t>
  </si>
  <si>
    <t xml:space="preserve">https://cuse.com/sports/mens-soccer/roster/2025</t>
  </si>
  <si>
    <t xml:space="preserve">Merritt, Miles</t>
  </si>
  <si>
    <t xml:space="preserve">https://msuspartans.com/sports/mens-soccer/roster</t>
  </si>
  <si>
    <t xml:space="preserve">Official Michigan State 2026 roster lists Miles Merritt.</t>
  </si>
  <si>
    <t xml:space="preserve">https://msuspartans.com/sports/mens-soccer/roster/miles-merritt/16131</t>
  </si>
  <si>
    <t xml:space="preserve">Millar, Andrew</t>
  </si>
  <si>
    <t xml:space="preserve">Current 2026 Northwestern roster preview identifies Andrew Millar as an incoming transfer from Vermont.</t>
  </si>
  <si>
    <t xml:space="preserve">https://uvmathletics.com/sports/mens-soccer/roster/andrew-millar/9412</t>
  </si>
  <si>
    <t xml:space="preserve">Miller, Max</t>
  </si>
  <si>
    <t xml:space="preserve">Official Kentucky 2026 roster lists Max Miller.</t>
  </si>
  <si>
    <t xml:space="preserve">Miller, Nolan</t>
  </si>
  <si>
    <t xml:space="preserve">Vardar Soccer Club</t>
  </si>
  <si>
    <t xml:space="preserve">Milovanov, Justin</t>
  </si>
  <si>
    <t xml:space="preserve">https://gomarquette.com/news/2026/1/2/mens-soccer-milovanov-signs-with-ny-cosmos</t>
  </si>
  <si>
    <t xml:space="preserve">Marquette confirmed Justin Milovanov signed a professional contract with the New York Cosmos.</t>
  </si>
  <si>
    <t xml:space="preserve">Mimy, Schinieder</t>
  </si>
  <si>
    <t xml:space="preserve">Minzey, Breckin</t>
  </si>
  <si>
    <t xml:space="preserve">Indy Eleven</t>
  </si>
  <si>
    <t xml:space="preserve">Official Indiana 2026 roster lists Breckin Minzey.</t>
  </si>
  <si>
    <t xml:space="preserve">Mitchell, Jaylinn</t>
  </si>
  <si>
    <t xml:space="preserve">Mitrovic, Mitar</t>
  </si>
  <si>
    <t xml:space="preserve">https://mgoblue.com/sports/mens-soccer/roster/mitrovic-mitar/26923</t>
  </si>
  <si>
    <t xml:space="preserve">Mollerberg, Calle</t>
  </si>
  <si>
    <t xml:space="preserve">Official UCSB 2025-26 spring roster lists Calle Mollerberg.</t>
  </si>
  <si>
    <t xml:space="preserve">https://ucsbgauchos.com/sports/mens-soccer/roster/2025</t>
  </si>
  <si>
    <t xml:space="preserve">Official 2025 UCSB roster</t>
  </si>
  <si>
    <t xml:space="preserve">Monath, Rich</t>
  </si>
  <si>
    <t xml:space="preserve">https://bluehens.com/sports/mens-soccer/roster</t>
  </si>
  <si>
    <t xml:space="preserve">Official Delaware 2026 roster lists Rich Monath.</t>
  </si>
  <si>
    <t xml:space="preserve">https://bluehens.com/sports/soccer/roster/rich-monath/29692</t>
  </si>
  <si>
    <t xml:space="preserve">Monge, Erick</t>
  </si>
  <si>
    <t xml:space="preserve">https://gculopes.com/sports/mens-soccer/roster/erick-monge/11098</t>
  </si>
  <si>
    <t xml:space="preserve">Moore, Sam</t>
  </si>
  <si>
    <t xml:space="preserve">https://depaulbluedemons.com/sports/mens-soccer/roster/2025</t>
  </si>
  <si>
    <t xml:space="preserve">Morrison, Aidan</t>
  </si>
  <si>
    <t xml:space="preserve">The College of William &amp; Mary</t>
  </si>
  <si>
    <t xml:space="preserve">https://highpointpanthers.com/sports/mens-soccer/roster/2026</t>
  </si>
  <si>
    <t xml:space="preserve">Official High Point 2026 roster lists Aidan Morrison after transferring from William &amp; Mary.</t>
  </si>
  <si>
    <t xml:space="preserve">https://tribeathletics.com/sports/mens-soccer/roster/aidan-morrison/16056</t>
  </si>
  <si>
    <t xml:space="preserve">Official 2025 William &amp; Mary roster</t>
  </si>
  <si>
    <t xml:space="preserve">Moua, Dylan</t>
  </si>
  <si>
    <t xml:space="preserve">Mroz, Michal</t>
  </si>
  <si>
    <t xml:space="preserve">University of Evansville</t>
  </si>
  <si>
    <t xml:space="preserve">Official Indiana 2026 roster lists Michal Mroz as a junior after transferring from Evansville.</t>
  </si>
  <si>
    <t xml:space="preserve">Mucchetti, Connor</t>
  </si>
  <si>
    <t xml:space="preserve">Mueller, Joey</t>
  </si>
  <si>
    <t xml:space="preserve">Muendo, Kenn</t>
  </si>
  <si>
    <t xml:space="preserve">CM</t>
  </si>
  <si>
    <t xml:space="preserve">https://ucfknights.com/sports/mens-soccer/roster/season/2025/player/kenn-muendo</t>
  </si>
  <si>
    <t xml:space="preserve">Muir, Marques</t>
  </si>
  <si>
    <t xml:space="preserve">Lexington SC / Greenville Triumph SC</t>
  </si>
  <si>
    <t xml:space="preserve">USL Championship / USL League One</t>
  </si>
  <si>
    <t xml:space="preserve">https://www.uslleagueone.com/news_article/show/1357606</t>
  </si>
  <si>
    <t xml:space="preserve">USL confirmed Marques Muir became a first-year professional with Lexington SC and joined Greenville Triumph on loan.</t>
  </si>
  <si>
    <t xml:space="preserve">https://storage.googleapis.com/ukathletics-com/2025/08/e8176db7-2025_msoc_fact-book-as-of-8.19.25.pdf</t>
  </si>
  <si>
    <t xml:space="preserve">Official Kentucky 2025 roster/fact book</t>
  </si>
  <si>
    <t xml:space="preserve">Mukisa, Emmanuel</t>
  </si>
  <si>
    <t xml:space="preserve">Official SMU 2026 roster lists Mukisa Emmanuel.</t>
  </si>
  <si>
    <t xml:space="preserve">Musah, Wahabu</t>
  </si>
  <si>
    <t xml:space="preserve">Official Clemson 2025-26 roster lists Wahabu Musah.</t>
  </si>
  <si>
    <t xml:space="preserve">Mustre, Eduardo</t>
  </si>
  <si>
    <t xml:space="preserve">Fifth Year</t>
  </si>
  <si>
    <t xml:space="preserve">Mutiri, Samuel</t>
  </si>
  <si>
    <t xml:space="preserve">University of Memphis</t>
  </si>
  <si>
    <t xml:space="preserve">https://gotigersgo.com/sports/mens-soccer/roster/Samuel-Mutiri/12161</t>
  </si>
  <si>
    <t xml:space="preserve">Natoli, Luciano</t>
  </si>
  <si>
    <t xml:space="preserve">University of North Florida</t>
  </si>
  <si>
    <t xml:space="preserve">https://unfospreys.com/sports/mens-soccer/roster/luciano-natoli/15183</t>
  </si>
  <si>
    <t xml:space="preserve">Official North Florida 2026 roster lists Luciano Natoli.</t>
  </si>
  <si>
    <t xml:space="preserve">https://unfospreys.com/sports/soccer/roster/luciano-natoli/14624</t>
  </si>
  <si>
    <t xml:space="preserve">Ndiaye, Moussa</t>
  </si>
  <si>
    <t xml:space="preserve">Ndrenika, Albi</t>
  </si>
  <si>
    <t xml:space="preserve">Official Maryland 2026 roster lists Albi Ndrenika.</t>
  </si>
  <si>
    <t xml:space="preserve">Nee, Nico</t>
  </si>
  <si>
    <t xml:space="preserve">Nehme, Isaac</t>
  </si>
  <si>
    <t xml:space="preserve">Nevado Masso, Sahyd</t>
  </si>
  <si>
    <t xml:space="preserve">Niehenke, Joaquin</t>
  </si>
  <si>
    <t xml:space="preserve">Official Penn 2026 roster lists Joaquin Niehenke.</t>
  </si>
  <si>
    <t xml:space="preserve">Nikolai, Luca</t>
  </si>
  <si>
    <t xml:space="preserve">Nishimura, Gaku</t>
  </si>
  <si>
    <t xml:space="preserve">Njike, Stephane</t>
  </si>
  <si>
    <t xml:space="preserve">Nyagurungo, Brandon</t>
  </si>
  <si>
    <t xml:space="preserve">University of South Florida</t>
  </si>
  <si>
    <t xml:space="preserve">https://gousfbulls.com/sports/mens-soccer/roster/nyagurungo-brandon/15647</t>
  </si>
  <si>
    <t xml:space="preserve">Official 2025 South Florida roster</t>
  </si>
  <si>
    <t xml:space="preserve">Nys, Edouard</t>
  </si>
  <si>
    <t xml:space="preserve">University of Illinois Chicago</t>
  </si>
  <si>
    <t xml:space="preserve">Ogunleye, Olayinka</t>
  </si>
  <si>
    <t xml:space="preserve">Ojea Quintana, Marcos</t>
  </si>
  <si>
    <t xml:space="preserve">Harvard University</t>
  </si>
  <si>
    <t xml:space="preserve">Beachside Soccer Club, New England Revolution</t>
  </si>
  <si>
    <t xml:space="preserve">https://gocrimson.com/sports/mens-soccer/roster/marcos-ojea-quintana/26784</t>
  </si>
  <si>
    <t xml:space="preserve">Official 2025 Harvard roster</t>
  </si>
  <si>
    <t xml:space="preserve">Ortiz, Alfredo</t>
  </si>
  <si>
    <t xml:space="preserve">Ospina, Timothy</t>
  </si>
  <si>
    <t xml:space="preserve">https://kcroos.com/sports/mens-soccer/roster/timothy-ospina/4880</t>
  </si>
  <si>
    <t xml:space="preserve">Official bio labels 2025 season as Grad.</t>
  </si>
  <si>
    <t xml:space="preserve">O'Toole, Patrick</t>
  </si>
  <si>
    <t xml:space="preserve">https://mgoblue.com/sports/mens-soccer/roster</t>
  </si>
  <si>
    <t xml:space="preserve">Official Michigan 2026 roster lists Patrick O'Toole.</t>
  </si>
  <si>
    <t xml:space="preserve">https://mgoblue.com/sports/mens-soccer/roster/patrick-otoole/26852</t>
  </si>
  <si>
    <t xml:space="preserve">Ovesen, Samuel</t>
  </si>
  <si>
    <t xml:space="preserve">https://gopsusports.com/sports/mens-soccer/roster/player/samuel-ovesen</t>
  </si>
  <si>
    <t xml:space="preserve">Owens, Parker</t>
  </si>
  <si>
    <t xml:space="preserve">California Polytechnic State University</t>
  </si>
  <si>
    <t xml:space="preserve">https://gopoly.com/sports/mens-soccer/roster</t>
  </si>
  <si>
    <t xml:space="preserve">Official Cal Poly 2026 roster lists Parker Owens.</t>
  </si>
  <si>
    <t xml:space="preserve">https://gopoly.com/sports/mens-soccer/roster/2025</t>
  </si>
  <si>
    <t xml:space="preserve">Oyler, Keegan</t>
  </si>
  <si>
    <t xml:space="preserve">Athletic Club Boise</t>
  </si>
  <si>
    <t xml:space="preserve">https://www.acboise.com/roster/keegan-oyler/</t>
  </si>
  <si>
    <t xml:space="preserve">Athletic Club Boise lists Keegan Oyler on its 2026 USL League One roster.</t>
  </si>
  <si>
    <t xml:space="preserve">Painter, Bennett</t>
  </si>
  <si>
    <t xml:space="preserve">Bowling Green State University</t>
  </si>
  <si>
    <t xml:space="preserve">Official Indiana 2026 roster lists Bennett Painter after transferring from Bowling Green.</t>
  </si>
  <si>
    <t xml:space="preserve">https://bgsufalcons.com/sports/mens-soccer/roster/2025</t>
  </si>
  <si>
    <t xml:space="preserve">Palomares, Donovan</t>
  </si>
  <si>
    <t xml:space="preserve">California State University San Bernardino</t>
  </si>
  <si>
    <t xml:space="preserve">https://csusbathletics.com/sports/mens-soccer/roster/donovan-palomares/4564</t>
  </si>
  <si>
    <t xml:space="preserve">Pechota, Luciano</t>
  </si>
  <si>
    <t xml:space="preserve">https://www.mnufc.com/news/mnufc2-signs-midfielder-luciano-pechota</t>
  </si>
  <si>
    <t xml:space="preserve">MNUFC2 announced Luciano Pechota signed a one-year MLS NEXT Pro contract.</t>
  </si>
  <si>
    <t xml:space="preserve">Pederson, Drew</t>
  </si>
  <si>
    <t xml:space="preserve">Gonzaga University</t>
  </si>
  <si>
    <t xml:space="preserve">Pela, Umberto</t>
  </si>
  <si>
    <t xml:space="preserve">Petrucci, Mason</t>
  </si>
  <si>
    <t xml:space="preserve">Canisius University</t>
  </si>
  <si>
    <t xml:space="preserve">https://gogriffs.com/sports/mens-soccer/roster/mason-petrucci/9072</t>
  </si>
  <si>
    <t xml:space="preserve">Philibbosian, Andre</t>
  </si>
  <si>
    <t xml:space="preserve">https://smumustangs.com/news/2026/7/7/mens-soccer-smu-transfer-class-ranked-third-by-topdrawersoccer.aspx</t>
  </si>
  <si>
    <t xml:space="preserve">SMU announced Andre Philibbosian as part of its 2026 transfer class.</t>
  </si>
  <si>
    <t xml:space="preserve">Pickett, D'Andre</t>
  </si>
  <si>
    <t xml:space="preserve">https://calbears.com/news/2026/6/30/mens-soccer-cal-mens-soccer-announces-2026-schedule.aspx</t>
  </si>
  <si>
    <t xml:space="preserve">Cal's official 2026 schedule announcement identifies D'Andre Pickett as a returning leader for the 2026 team.</t>
  </si>
  <si>
    <t xml:space="preserve">Pierre, Kevin</t>
  </si>
  <si>
    <t xml:space="preserve">Pipkin, Blake</t>
  </si>
  <si>
    <t xml:space="preserve">Colgate University</t>
  </si>
  <si>
    <t xml:space="preserve">https://colgateathletics.com/sports/mens-soccer/roster</t>
  </si>
  <si>
    <t xml:space="preserve">Official Colgate 2026 roster lists Blake Pipkin.</t>
  </si>
  <si>
    <t xml:space="preserve">https://colgateathletics.com/sports/mens-soccer/roster/blake-pipkin/23992</t>
  </si>
  <si>
    <t xml:space="preserve">Pop, Sebastian</t>
  </si>
  <si>
    <t xml:space="preserve">Official Virginia 2026 roster lists Sebastian Pop.</t>
  </si>
  <si>
    <t xml:space="preserve">https://virginiasports.com/sports/msoc/roster/season/2026-27</t>
  </si>
  <si>
    <t xml:space="preserve">Pozos, Pablo</t>
  </si>
  <si>
    <t xml:space="preserve">https://wvusports.com/sports/mens-soccer/roster</t>
  </si>
  <si>
    <t xml:space="preserve">Official West Virginia University 2026 men's soccer roster lists the player, confirming a return to college for the 2026 season.</t>
  </si>
  <si>
    <t xml:space="preserve">Pratt, Oliver</t>
  </si>
  <si>
    <t xml:space="preserve">Miami Futbol Academy Rush</t>
  </si>
  <si>
    <t xml:space="preserve">Prince, Nigel</t>
  </si>
  <si>
    <t xml:space="preserve">https://nusports.com/sports/mens-soccer/roster/nigel-prince/12646</t>
  </si>
  <si>
    <t xml:space="preserve">Pusztahegyi, Markus</t>
  </si>
  <si>
    <t xml:space="preserve">St. John's University</t>
  </si>
  <si>
    <t xml:space="preserve">https://redstormsports.com/sports/mens-soccer/roster</t>
  </si>
  <si>
    <t xml:space="preserve">Rabiu, Nico</t>
  </si>
  <si>
    <t xml:space="preserve">https://godeacs.com/sports/mens-soccer/roster/rabiu-nico/9196</t>
  </si>
  <si>
    <t xml:space="preserve">Official Wake Forest Spring 2026 roster lists Nico Rabiu.</t>
  </si>
  <si>
    <t xml:space="preserve">https://godeacs.com/sports/mens-soccer/roster/2025</t>
  </si>
  <si>
    <t xml:space="preserve">Ramsey, Zach</t>
  </si>
  <si>
    <t xml:space="preserve">Raphael, David</t>
  </si>
  <si>
    <t xml:space="preserve">Sacramento Republic FC</t>
  </si>
  <si>
    <t xml:space="preserve">Official San Francisco 2026 roster lists David Raphael as a junior.</t>
  </si>
  <si>
    <t xml:space="preserve">https://usfdons.com/sports/mens-soccer/roster/2025</t>
  </si>
  <si>
    <t xml:space="preserve">Resch, Agustin</t>
  </si>
  <si>
    <t xml:space="preserve">Ricol, Lilian</t>
  </si>
  <si>
    <t xml:space="preserve">https://ucfknights.com/news/2026/03/19/lilian-ricol-inks-deal-with-usl-league-ones-fort-wayne-fc</t>
  </si>
  <si>
    <t xml:space="preserve">UCF confirmed Lilian Ricol joined the professional ranks with Fort Wayne FC.</t>
  </si>
  <si>
    <t xml:space="preserve">https://ucfknights.com/sports/mens-soccer/roster/player/lilian-ricol</t>
  </si>
  <si>
    <t xml:space="preserve">Rivera, Gilberto</t>
  </si>
  <si>
    <t xml:space="preserve">Siliscon Valley SA, San Jose Earthquakes, De Anza Force</t>
  </si>
  <si>
    <t xml:space="preserve">Roca, Bogart</t>
  </si>
  <si>
    <t xml:space="preserve">https://gorunners.com/sports/mens-soccer/roster/bogart-roca/8675</t>
  </si>
  <si>
    <t xml:space="preserve">Rodriguez, Andres</t>
  </si>
  <si>
    <t xml:space="preserve">Rose, Tristen</t>
  </si>
  <si>
    <t xml:space="preserve">Ruguaru, Ryan</t>
  </si>
  <si>
    <t xml:space="preserve">https://gotigersgo.com/sports/mens-soccer/roster/Ryan-Ruguaru/11501</t>
  </si>
  <si>
    <t xml:space="preserve">Official Memphis 2026 spring roster lists Ryan Ruguaru.</t>
  </si>
  <si>
    <t xml:space="preserve">https://gotigersgo.com/sports/mens-soccer/roster/ryan-ruguaru/11501</t>
  </si>
  <si>
    <t xml:space="preserve">Ruiz, Neo</t>
  </si>
  <si>
    <t xml:space="preserve">Breakers FC</t>
  </si>
  <si>
    <t xml:space="preserve">https://sjsuspartans.com/sports/mens-soccer/roster</t>
  </si>
  <si>
    <t xml:space="preserve">Official San Jose State 2026 roster lists Neo Ruiz.</t>
  </si>
  <si>
    <t xml:space="preserve">Rumley, Matiwos</t>
  </si>
  <si>
    <t xml:space="preserve">Pennsylvania State University</t>
  </si>
  <si>
    <t xml:space="preserve">https://upstatespartans.com/sports/mens-soccer/roster</t>
  </si>
  <si>
    <t xml:space="preserve">Official USC Upstate 2026 roster lists Matiwos Rumley as a redshirt senior after Penn State.</t>
  </si>
  <si>
    <t xml:space="preserve">https://gopsusports.com/sports/mens-soccer/roster/player/matiwos-rumley</t>
  </si>
  <si>
    <t xml:space="preserve">Rygaard Hansen, Bertil</t>
  </si>
  <si>
    <t xml:space="preserve">https://goheels.com/sports/mens-soccer/roster/bertil-rygaard-hansen/28222</t>
  </si>
  <si>
    <t xml:space="preserve">Official UNC 2026 roster lists Bertil Rygaard Hansen.</t>
  </si>
  <si>
    <t xml:space="preserve">Salvo, Alex</t>
  </si>
  <si>
    <t xml:space="preserve">Samuels, Andrew</t>
  </si>
  <si>
    <t xml:space="preserve">San Jose Earthquakes, De Anza Force</t>
  </si>
  <si>
    <t xml:space="preserve">Princeton named Andrew Samuels a 2026 captain and states he is entering his senior year.</t>
  </si>
  <si>
    <t xml:space="preserve">Samways, Daniel</t>
  </si>
  <si>
    <t xml:space="preserve">Sandmeyer, Jack</t>
  </si>
  <si>
    <t xml:space="preserve">Sarajian, Harvey</t>
  </si>
  <si>
    <t xml:space="preserve">Sasaki, Shuma</t>
  </si>
  <si>
    <t xml:space="preserve">https://www.revolutionsoccer.net/news/new-england-revolution-ii-sign-forward-winger-shuma-sasaki</t>
  </si>
  <si>
    <t xml:space="preserve">New England Revolution II announced Shuma Sasaki signed an MLS NEXT Pro professional contract through 2026 with a 2027 club option.</t>
  </si>
  <si>
    <t xml:space="preserve">https://mgoblue.com/sports/mens-soccer/roster/shuma-sasaki/26925</t>
  </si>
  <si>
    <t xml:space="preserve">Sasaki, Takashi</t>
  </si>
  <si>
    <t xml:space="preserve">Official Seattle 2026 roster lists Takashi Sasaki after transferring from Stanford.</t>
  </si>
  <si>
    <t xml:space="preserve">https://gostanford.com/sports/mens-soccer/roster/season/2025/player/takashi-sasaki</t>
  </si>
  <si>
    <t xml:space="preserve">Sassine, Ethan</t>
  </si>
  <si>
    <t xml:space="preserve">Saunders, Balthazar</t>
  </si>
  <si>
    <t xml:space="preserve">https://uconnhuskies.com/sports/mens-soccer/roster/balthazar-saunders/15106</t>
  </si>
  <si>
    <t xml:space="preserve">Scheer, Isaac</t>
  </si>
  <si>
    <t xml:space="preserve">https://wvusports.com/sports/mens-soccer/roster/isaac-scheer/19749</t>
  </si>
  <si>
    <t xml:space="preserve">Schelb, Joschi</t>
  </si>
  <si>
    <t xml:space="preserve">https://goheels.com/sports/mens-soccer/roster/joschi-schelb/28232</t>
  </si>
  <si>
    <t xml:space="preserve">Official UNC 2026 spring roster lists Joschi Schelb after Rutgers.</t>
  </si>
  <si>
    <t xml:space="preserve">Schnebly, Rowan</t>
  </si>
  <si>
    <t xml:space="preserve">Official Stanford 2026 roster lists Rowan Schnebly as a redshirt senior.</t>
  </si>
  <si>
    <t xml:space="preserve">Schroeder, Will</t>
  </si>
  <si>
    <t xml:space="preserve">https://fightingirish.com/sports/msoc/roster/season/2026-27/</t>
  </si>
  <si>
    <t xml:space="preserve">Official Notre Dame 2026-27 roster lists Will Schroeder.</t>
  </si>
  <si>
    <t xml:space="preserve">https://fightingirish.com/sports/msoc/roster/season/2025-26/player/will-schroeder/</t>
  </si>
  <si>
    <t xml:space="preserve">Schueneman, Kyle</t>
  </si>
  <si>
    <t xml:space="preserve">Robert Morris University</t>
  </si>
  <si>
    <t xml:space="preserve">https://rmucolonials.com/sports/mens-soccer/roster/kyle-schueneman/10363</t>
  </si>
  <si>
    <t xml:space="preserve">Schwengeler, Noah</t>
  </si>
  <si>
    <t xml:space="preserve">https://ucdavisaggies.com/sports/mens-soccer/roster/noah-schwengeler/19399</t>
  </si>
  <si>
    <t xml:space="preserve">Seel, Braden</t>
  </si>
  <si>
    <t xml:space="preserve">Segura, Damian</t>
  </si>
  <si>
    <t xml:space="preserve">Official Drake 2026 roster lists Damian Segura.</t>
  </si>
  <si>
    <t xml:space="preserve">https://godrakebulldogs.com/sports/mens-soccer/roster/damian-segura/10915</t>
  </si>
  <si>
    <t xml:space="preserve">Official 2026 Drake bio lists Redshirt Senior and 2025 season participation; 2025 class inferred as Redshirt Junior</t>
  </si>
  <si>
    <t xml:space="preserve">Sereno, Martim</t>
  </si>
  <si>
    <t xml:space="preserve">https://gomason.com/sports/mens-soccer/roster/martim-sereno/9088</t>
  </si>
  <si>
    <t xml:space="preserve">Official George Mason 2026 roster lists Martim Sereno; his summer USL2 participation is amateur/pre-professional, not a pro outcome.</t>
  </si>
  <si>
    <t xml:space="preserve">Official 2026 Mason bio shows 2026 Junior and first collegiate season in 2024; 2025 class = Sophomore</t>
  </si>
  <si>
    <t xml:space="preserve">Shaffer, Andrew</t>
  </si>
  <si>
    <t xml:space="preserve">Shannon, Jake</t>
  </si>
  <si>
    <t xml:space="preserve">Sharp, Jeremy</t>
  </si>
  <si>
    <t xml:space="preserve">Sheeler, Trey</t>
  </si>
  <si>
    <t xml:space="preserve">Official Lehigh 2026 roster lists Trey Sheeler.</t>
  </si>
  <si>
    <t xml:space="preserve">Shiraishi, Fumiya</t>
  </si>
  <si>
    <t xml:space="preserve">Missouri State University</t>
  </si>
  <si>
    <t xml:space="preserve">https://missouristatebears.com/sports/mens-soccer/roster/2025</t>
  </si>
  <si>
    <t xml:space="preserve">Short, Stockton</t>
  </si>
  <si>
    <t xml:space="preserve">Utah Tech University</t>
  </si>
  <si>
    <t xml:space="preserve">Simaken, Boubacar</t>
  </si>
  <si>
    <t xml:space="preserve">University of New Hampshire</t>
  </si>
  <si>
    <t xml:space="preserve">https://unhwildcats.com/sports/mens-soccer/roster/boubacar-simakan/11968</t>
  </si>
  <si>
    <t xml:space="preserve">Official 2025 New Hampshire roster</t>
  </si>
  <si>
    <t xml:space="preserve">Simmonds, Nicholas</t>
  </si>
  <si>
    <t xml:space="preserve">Smith, Rylan</t>
  </si>
  <si>
    <t xml:space="preserve">Official San Francisco 2026 roster lists Rylan Smith as a senior.</t>
  </si>
  <si>
    <t xml:space="preserve">Smith, Braedon</t>
  </si>
  <si>
    <t xml:space="preserve">New England Revolution, New York City FC</t>
  </si>
  <si>
    <t xml:space="preserve">https://wvusports.com/sports/mens-soccer/roster/braedon-smith/19750</t>
  </si>
  <si>
    <t xml:space="preserve">Soerensen, Niklas</t>
  </si>
  <si>
    <t xml:space="preserve">https://pittsburghpanthers.com/sports/mens-soccer/roster/niklas-soerensen/15245</t>
  </si>
  <si>
    <t xml:space="preserve">Official Pitt 2026 roster lists Niklas Soerensen as a junior.</t>
  </si>
  <si>
    <t xml:space="preserve">Soghomonian, Stephan</t>
  </si>
  <si>
    <t xml:space="preserve">Solmaz, Sinan</t>
  </si>
  <si>
    <t xml:space="preserve">Official Kentucky 2026 roster lists Sinan Solmaz.</t>
  </si>
  <si>
    <t xml:space="preserve">https://ukathletics.com/roster/sinan-solmaz/</t>
  </si>
  <si>
    <t xml:space="preserve">Solorzano, Jorge</t>
  </si>
  <si>
    <t xml:space="preserve">https://gomatadors.com/sports/mens-soccer/roster/jorge-solorzano/6855</t>
  </si>
  <si>
    <t xml:space="preserve">Spicer, Nolan</t>
  </si>
  <si>
    <t xml:space="preserve">https://fightingirish.com/roster/nolan-spicer/</t>
  </si>
  <si>
    <t xml:space="preserve">Notre Dame's 2026-27 roster lists Nolan Spicer as a senior.</t>
  </si>
  <si>
    <t xml:space="preserve">Standish, Kaden</t>
  </si>
  <si>
    <t xml:space="preserve">Official UCSB 2025-26 spring roster lists Kaden Standish.</t>
  </si>
  <si>
    <t xml:space="preserve">https://ucsbgauchos.com/sports/mens-soccer/roster/kaden-standish/7566</t>
  </si>
  <si>
    <t xml:space="preserve">Stazenski, Jacob</t>
  </si>
  <si>
    <t xml:space="preserve">https://unhwildcats.com/sports/mens-soccer/roster/jacob-stazenski/11532</t>
  </si>
  <si>
    <t xml:space="preserve">Stenner, Marius</t>
  </si>
  <si>
    <t xml:space="preserve">Official Delaware 2026 roster lists Marius Stenner.</t>
  </si>
  <si>
    <t xml:space="preserve">https://bluehens.com/sports/mens-soccer/roster/marius-stenner/29697</t>
  </si>
  <si>
    <t xml:space="preserve">Stoka, Mateo</t>
  </si>
  <si>
    <t xml:space="preserve">https://gomarquette.com/sports/mens-soccer/roster</t>
  </si>
  <si>
    <t xml:space="preserve">Official Marquette 2026 roster lists Mateo Stoka.</t>
  </si>
  <si>
    <t xml:space="preserve">Suber, Julius</t>
  </si>
  <si>
    <t xml:space="preserve">Official Duke 2026 roster lists Julius Suber.</t>
  </si>
  <si>
    <t xml:space="preserve">Sullins, Andrew</t>
  </si>
  <si>
    <t xml:space="preserve">Sumaila, Mohammed</t>
  </si>
  <si>
    <t xml:space="preserve">Official UNCG 2026 roster lists Mohammed Sumaila.</t>
  </si>
  <si>
    <t xml:space="preserve">https://uncgspartans.com/sports/mens-soccer/roster/mohammed-sumaila/6234</t>
  </si>
  <si>
    <t xml:space="preserve">Svendby, Casper</t>
  </si>
  <si>
    <t xml:space="preserve">https://pittsburghpanthers.com/sports/general/roster/casper-svendby/13837</t>
  </si>
  <si>
    <t xml:space="preserve">Swinehart, Bryce</t>
  </si>
  <si>
    <t xml:space="preserve">Talabi, Abdel</t>
  </si>
  <si>
    <t xml:space="preserve">Tepe, Sebastian (Kade)</t>
  </si>
  <si>
    <t xml:space="preserve">https://nuhuskies.com/sports/mens-soccer/roster/kade-tepe/9946</t>
  </si>
  <si>
    <t xml:space="preserve">Official 2025 Northeastern roster; listed as Kade Tepe</t>
  </si>
  <si>
    <t xml:space="preserve">Tibbetts, Matthew</t>
  </si>
  <si>
    <t xml:space="preserve">https://www.revolutionsoccer.net/news/revolution-ii-sign-mimy-tibbetts</t>
  </si>
  <si>
    <t xml:space="preserve">New England Revolution II announced Matthew Tibbetts signed an MLS NEXT Pro professional contract for 2026.</t>
  </si>
  <si>
    <t xml:space="preserve">https://aueagles.com/news/2025/7/24/mens-soccer-announces-2025-recruiting-class.aspx</t>
  </si>
  <si>
    <t xml:space="preserve">Tommy, Calem</t>
  </si>
  <si>
    <t xml:space="preserve">Torbic, Joel</t>
  </si>
  <si>
    <t xml:space="preserve">Philadelphia Union, Barca Residency Academy</t>
  </si>
  <si>
    <t xml:space="preserve">Tormo Lopez, Emigdio</t>
  </si>
  <si>
    <t xml:space="preserve">De Anza Force</t>
  </si>
  <si>
    <t xml:space="preserve">Torres, Joaquin</t>
  </si>
  <si>
    <t xml:space="preserve">Traore, Aboubacar</t>
  </si>
  <si>
    <t xml:space="preserve">Vancouver FC</t>
  </si>
  <si>
    <t xml:space="preserve">Canadian Premier League</t>
  </si>
  <si>
    <t xml:space="preserve">https://www.cplsoccer.com/news/vancouver-fc-sign-attacker-aboubacar-traore</t>
  </si>
  <si>
    <t xml:space="preserve">Vancouver FC announced Aboubacar Traore signed a professional contract through 2027.</t>
  </si>
  <si>
    <t xml:space="preserve">https://fausports.com/sports/soccer/roster/traore-aboubacar/18068</t>
  </si>
  <si>
    <t xml:space="preserve">Treinen, Brady</t>
  </si>
  <si>
    <t xml:space="preserve">Strikers FC</t>
  </si>
  <si>
    <t xml:space="preserve">https://ucirvinesports.com/news/2026/4/20/mens-soccer-q-a-with-brady-treinen</t>
  </si>
  <si>
    <t xml:space="preserve">UCI published a current April 2026 player feature confirming Brady Treinen remains with the men's soccer program.</t>
  </si>
  <si>
    <t xml:space="preserve">Trujillo, Wylie</t>
  </si>
  <si>
    <t xml:space="preserve">https://portlandpilots.com/sports/mens-soccer/roster/wylie-trujillo/9250</t>
  </si>
  <si>
    <t xml:space="preserve">Tucker, Mouhamed</t>
  </si>
  <si>
    <t xml:space="preserve">https://vcuathletics.com/sports/mens-soccer/roster/mouhamed-tucker/6371</t>
  </si>
  <si>
    <t xml:space="preserve">Official 2025 VCU roster</t>
  </si>
  <si>
    <t xml:space="preserve">Tupay, Alex</t>
  </si>
  <si>
    <t xml:space="preserve">RSL Arizona</t>
  </si>
  <si>
    <t xml:space="preserve">Official UConn 2026 roster lists Alex Tupay.</t>
  </si>
  <si>
    <t xml:space="preserve">https://uconnhuskies.com/sports/mens-soccer/roster/alex-tupay/15108</t>
  </si>
  <si>
    <t xml:space="preserve">Umana, Alex</t>
  </si>
  <si>
    <t xml:space="preserve">https://yalebulldogs.com/sports/mens-soccer/roster/alex-umana/21652</t>
  </si>
  <si>
    <t xml:space="preserve">Umberto Picotto, Joseph</t>
  </si>
  <si>
    <t xml:space="preserve">https://umterps.com/sports/mens-soccer/roster/joseph-umberto-picotto/15979</t>
  </si>
  <si>
    <t xml:space="preserve">Official Maryland 2026 spring roster lists Joseph Umberto Picotto.</t>
  </si>
  <si>
    <t xml:space="preserve">Urrutia, David</t>
  </si>
  <si>
    <t xml:space="preserve">Van Deventer, Jayvin</t>
  </si>
  <si>
    <t xml:space="preserve">https://nusports.com/sports/mens-soccer/roster/jayvin-van-deventer/12651</t>
  </si>
  <si>
    <t xml:space="preserve">Van Haveren, Nigel</t>
  </si>
  <si>
    <t xml:space="preserve">Official FIU 2026 roster lists Nigel Van Haveren.</t>
  </si>
  <si>
    <t xml:space="preserve">Van Marter, Owen</t>
  </si>
  <si>
    <t xml:space="preserve">Oglethorpe University</t>
  </si>
  <si>
    <t xml:space="preserve">https://gopetrels.com/sports/mens-soccer/roster/owen-vanmarter/6631</t>
  </si>
  <si>
    <t xml:space="preserve">Viera, Max</t>
  </si>
  <si>
    <t xml:space="preserve">https://www.riverhounds.com/news/2026/02/27/max-viera-signing/</t>
  </si>
  <si>
    <t xml:space="preserve">Pittsburgh Riverhounds announced Max Viera signed his first professional deal for the 2026 season.</t>
  </si>
  <si>
    <t xml:space="preserve">Vigilante, Sam</t>
  </si>
  <si>
    <t xml:space="preserve">Official Princeton 2026 roster lists Sam Vigilante.</t>
  </si>
  <si>
    <t xml:space="preserve">Vilardo, Stephen</t>
  </si>
  <si>
    <t xml:space="preserve">Case Western Reserve University</t>
  </si>
  <si>
    <t xml:space="preserve">https://athletics.case.edu/sports/mens-soccer/roster/stephen-vilardo/7603</t>
  </si>
  <si>
    <t xml:space="preserve">Viviani, Tristan</t>
  </si>
  <si>
    <t xml:space="preserve">Vovk, Artem</t>
  </si>
  <si>
    <t xml:space="preserve">https://uclabruins.com/sports/mens-soccer/roster/artem-vovk/15354</t>
  </si>
  <si>
    <t xml:space="preserve">Waggoner, Alex</t>
  </si>
  <si>
    <t xml:space="preserve">Official Portland 2026 roster lists Alex Waggoner.</t>
  </si>
  <si>
    <t xml:space="preserve">Wagner, Iain</t>
  </si>
  <si>
    <t xml:space="preserve">Official San Diego 2026 roster lists Iain Wagner as a junior.</t>
  </si>
  <si>
    <t xml:space="preserve">Wagoner, Jack</t>
  </si>
  <si>
    <t xml:space="preserve">https://iuhoosiers.com/news/2026/3/7/mens-soccer-eleven-hoosiers-start-seasons-in-usl-championship-mls-next-pro</t>
  </si>
  <si>
    <t xml:space="preserve">Indiana Athletics confirmed recent alumnus Jack Wagoner signed with St. Louis CITY2 in MLS NEXT Pro.</t>
  </si>
  <si>
    <t xml:space="preserve">Walent, Vlad</t>
  </si>
  <si>
    <t xml:space="preserve">Walker, Keegan</t>
  </si>
  <si>
    <t xml:space="preserve">Walsh, Dylan</t>
  </si>
  <si>
    <t xml:space="preserve">Stonehill College</t>
  </si>
  <si>
    <t xml:space="preserve">https://stonehillskyhawks.com/sports/mens-soccer/roster/dylan-walsh/9192</t>
  </si>
  <si>
    <t xml:space="preserve">Walz, Owen</t>
  </si>
  <si>
    <t xml:space="preserve">Warhaft, Bryce</t>
  </si>
  <si>
    <t xml:space="preserve">Orlando City Youth Soccer</t>
  </si>
  <si>
    <t xml:space="preserve">https://unfospreys.com/sports/mens-soccer/roster/bryce-warhaft/14646</t>
  </si>
  <si>
    <t xml:space="preserve">Warne, Ethan</t>
  </si>
  <si>
    <t xml:space="preserve">Watt, Evan</t>
  </si>
  <si>
    <t xml:space="preserve">https://odusports.com/sports/mens-soccer/roster/player/evan-watt</t>
  </si>
  <si>
    <t xml:space="preserve">White, Jeffrey</t>
  </si>
  <si>
    <t xml:space="preserve">Tampa Bay United</t>
  </si>
  <si>
    <t xml:space="preserve">Wickham, Jahiem</t>
  </si>
  <si>
    <t xml:space="preserve">Wiersdorf, Will</t>
  </si>
  <si>
    <t xml:space="preserve">Santa Clara University</t>
  </si>
  <si>
    <t xml:space="preserve">https://santaclarabroncos.com/sports/mens-soccer/roster/will-wiersdorf/9417</t>
  </si>
  <si>
    <t xml:space="preserve">Wilkerson, Cam</t>
  </si>
  <si>
    <t xml:space="preserve">New Mexico United</t>
  </si>
  <si>
    <t xml:space="preserve">https://www.uslchampionship.com/news_article/show/1359210</t>
  </si>
  <si>
    <t xml:space="preserve">USL Championship announced Cam Wilkerson signed a full-season professional contract with New Mexico United after a 25-day deal.</t>
  </si>
  <si>
    <t xml:space="preserve">Wilkinson, Kienan</t>
  </si>
  <si>
    <t xml:space="preserve">University of St. Thomas</t>
  </si>
  <si>
    <t xml:space="preserve">https://tommiesports.com/sports/msoc/roster/kienan-wilkinson/11113</t>
  </si>
  <si>
    <t xml:space="preserve">Williams, Donovan</t>
  </si>
  <si>
    <t xml:space="preserve">Willoughby, Bryce</t>
  </si>
  <si>
    <t xml:space="preserve">Official Denver 2026 roster lists Bryce Willoughby as a fifth-year player.</t>
  </si>
  <si>
    <t xml:space="preserve">Wilson, Seth</t>
  </si>
  <si>
    <t xml:space="preserve">Official UNCG 2026 roster lists Seth Wilson.</t>
  </si>
  <si>
    <t xml:space="preserve">Wilson, Nicholas</t>
  </si>
  <si>
    <t xml:space="preserve">Stony Brook University</t>
  </si>
  <si>
    <t xml:space="preserve">https://stonybrookathletics.com/sports/mens-soccer/roster</t>
  </si>
  <si>
    <t xml:space="preserve">Worsfold-Gregg, Morgan</t>
  </si>
  <si>
    <t xml:space="preserve">Drexel University</t>
  </si>
  <si>
    <t xml:space="preserve">https://drexeldragons.com/sports/mens-soccer/roster/</t>
  </si>
  <si>
    <t xml:space="preserve">Official Drexel 2026 roster lists Morgan Worsfold-Gregg.</t>
  </si>
  <si>
    <t xml:space="preserve">https://drexeldragons.com/sports/mens-soccer/roster/morgan-worsfoldgregg/11238</t>
  </si>
  <si>
    <t xml:space="preserve">Wright, Tre</t>
  </si>
  <si>
    <t xml:space="preserve">https://uclabruins.com/sports/mens-soccer/roster/tre-wright/15355</t>
  </si>
  <si>
    <t xml:space="preserve">Official/current UCLA roster lists Tre Wright as a junior.</t>
  </si>
  <si>
    <t xml:space="preserve">Wright, Trevor</t>
  </si>
  <si>
    <t xml:space="preserve">Yearwood, Jaylen</t>
  </si>
  <si>
    <t xml:space="preserve">Yohannes, Mathias</t>
  </si>
  <si>
    <t xml:space="preserve">Official Virginia Tech 2026 roster lists Mathias Yohannes.</t>
  </si>
  <si>
    <t xml:space="preserve">https://hokiesports.com/sports/mens-soccer/roster/season/2025</t>
  </si>
  <si>
    <t xml:space="preserve">Yoshizawa, Misei</t>
  </si>
  <si>
    <t xml:space="preserve">https://clemsontigers.com/sports/mens-soccer/roster/player/misei-yoshizawa</t>
  </si>
  <si>
    <t xml:space="preserve">Zachemski, Matthew</t>
  </si>
  <si>
    <t xml:space="preserve">Official Wisconsin 2026 roster lists Matthew Zachemski.</t>
  </si>
  <si>
    <t xml:space="preserve">Zambrano, Carlos</t>
  </si>
  <si>
    <t xml:space="preserve">Zizza, Giacomo</t>
  </si>
  <si>
    <t xml:space="preserve">https://gocards.com/sports/mens-soccer/roster/giacomo-zizza/17909</t>
  </si>
  <si>
    <t xml:space="preserve">Official Louisville 2026 roster lists Giacomo Zizza after transferring from Lehigh.</t>
  </si>
  <si>
    <t xml:space="preserve">Zuluaga, Yeider</t>
  </si>
  <si>
    <t xml:space="preserve">Field</t>
  </si>
  <si>
    <t xml:space="preserve">Details</t>
  </si>
  <si>
    <t xml:space="preserve">Dataset</t>
  </si>
  <si>
    <t xml:space="preserve">2026 MLS SuperDraft Eligible Players</t>
  </si>
  <si>
    <t xml:space="preserve">Official source</t>
  </si>
  <si>
    <t xml:space="preserve">https://www.mlssoccer.com/superdraft/news/2026-mls-superdraft-eligible-players</t>
  </si>
  <si>
    <t xml:space="preserve">Players</t>
  </si>
  <si>
    <t xml:space="preserve">Schools reported by MLS</t>
  </si>
  <si>
    <t xml:space="preserve">Purpose</t>
  </si>
  <si>
    <t xml:space="preserve">Base population for the college-to-pro soccer analytics project. The blank columns are ready for us to add draft and professional outcome data later.</t>
  </si>
  <si>
    <t xml:space="preserve">Draft results source</t>
  </si>
  <si>
    <t xml:space="preserve">https://www.mlssoccer.com/news/mls-superdraft-2026-tracker-order-selections</t>
  </si>
  <si>
    <t xml:space="preserve">Draft result</t>
  </si>
  <si>
    <t xml:space="preserve">90 players selected in three rounds; Drafted?, Overall Pick, and MLS Club were matched to the eligible-player list.</t>
  </si>
  <si>
    <t xml:space="preserve">Outcome research date</t>
  </si>
  <si>
    <t xml:space="preserve">2026 SuperDraft outcome table</t>
  </si>
  <si>
    <t xml:space="preserve">MLS current transfer tracker</t>
  </si>
  <si>
    <t xml:space="preserve">Official MLS eligible list</t>
  </si>
  <si>
    <t xml:space="preserve">https://www.mlssoccer.com/news/major-league-soccer-announces-eligible-player-list-for-2026-mls-superdraft</t>
  </si>
  <si>
    <t xml:space="preserve">Method</t>
  </si>
  <si>
    <t xml:space="preserve">Drafted players were marked Professional only when a signed/current club was explicitly listed. Players whose outcome was a college team were marked Returned to college. Blank outcomes stay Unknown.</t>
  </si>
  <si>
    <t xml:space="preserve">Limitation</t>
  </si>
  <si>
    <t xml:space="preserve">The undrafted pool has not yet been exhaustively matched to every USL, MLS NEXT Pro, Canadian, or overseas signing, so this is a researched working dataset rather than the final conversion-rate dataset.</t>
  </si>
  <si>
    <t xml:space="preserve">Metric</t>
  </si>
  <si>
    <t xml:space="preserve">Current Count</t>
  </si>
  <si>
    <t xml:space="preserve">Eligible players</t>
  </si>
  <si>
    <t xml:space="preserve">Confirmed professionals</t>
  </si>
  <si>
    <t xml:space="preserve">Confirmed returned to college</t>
  </si>
  <si>
    <t xml:space="preserve">Confirmed amateur / pre-professional</t>
  </si>
  <si>
    <t xml:space="preserve">Still unresolved / unknown</t>
  </si>
  <si>
    <t xml:space="preserve">Resolved outcomes</t>
  </si>
  <si>
    <t xml:space="preserve">Resolved percentage</t>
  </si>
  <si>
    <t xml:space="preserve">65% target</t>
  </si>
  <si>
    <t xml:space="preserve">65% target reached?</t>
  </si>
  <si>
    <t xml:space="preserve">70% target</t>
  </si>
  <si>
    <t xml:space="preserve">Still needed for 70%</t>
  </si>
  <si>
    <t xml:space="preserve">New pros this pass</t>
  </si>
  <si>
    <t xml:space="preserve">New returns/amateur this pass</t>
  </si>
  <si>
    <t xml:space="preserve">Base file</t>
  </si>
  <si>
    <t xml:space="preserve">MLS_2026_College_to_Pro_Working_Dataset1(11).xlsx</t>
  </si>
  <si>
    <t xml:space="preserve">Research target</t>
  </si>
  <si>
    <t xml:space="preserve">College academic year/class for the 2025 men's soccer season (2025-26 academic year)</t>
  </si>
  <si>
    <t xml:space="preserve">Primary source rule</t>
  </si>
  <si>
    <t xml:space="preserve">Official school athletics roster/player bio for 2025; 2026 page used only when it clearly identifies the player's 2025 class</t>
  </si>
  <si>
    <t xml:space="preserve">Statuses preserved</t>
  </si>
  <si>
    <t xml:space="preserve">Freshman, Redshirt Freshman, Sophomore, Redshirt Sophomore, Junior, Redshirt Junior, Senior, Redshirt Senior, Graduate Student, Fifth Year</t>
  </si>
  <si>
    <t xml:space="preserve">Rows researched and filled</t>
  </si>
  <si>
    <t xml:space="preserve">Rows not found</t>
  </si>
  <si>
    <t xml:space="preserve">Important</t>
  </si>
  <si>
    <t xml:space="preserve">'Not found' means I could not verify the 2025/2025-26 class from a reliable school/athletics source in this research pass. It does not mean the player had no college status.</t>
  </si>
  <si>
    <t xml:space="preserve">Remaining unresolved</t>
  </si>
  <si>
    <t xml:space="preserve">Research note</t>
  </si>
  <si>
    <t xml:space="preserve">The remaining names were left as 'Not found' rather than guessed because I could not verify a 2025/2025-26 academic class from a reliable roster/player bio. Sources found only confirmed participation or had ambiguous class information.</t>
  </si>
  <si>
    <t xml:space="preserve">Outcome</t>
  </si>
  <si>
    <t xml:space="preserve">Team/School</t>
  </si>
  <si>
    <t xml:space="preserve">Evidence</t>
  </si>
  <si>
    <t xml:space="preserve">Verified</t>
  </si>
  <si>
    <t xml:space="preserve">Row</t>
  </si>
  <si>
    <t xml:space="preserve">Status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</si>
</sst>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(* #,##0.00_);_(* \(#,##0.00\);_(* \-??_);_(@_)"/>
    <numFmt numFmtId="166" formatCode="_(* #,##0.00_);_(* \(#,##0.00\);_(* \-??_);_(@_)"/>
    <numFmt numFmtId="167" formatCode="_(* #,##0_);_(* \(#,##0\);_(* \-_);_(@_)"/>
    <numFmt numFmtId="168" formatCode="_(* #,##0_);_(* \(#,##0\);_(* \-_);_(@_)"/>
    <numFmt numFmtId="169" formatCode="_(\$* #,##0.00_);_(\$* \(#,##0.00\);_(\$* \-??_);_(@_)"/>
    <numFmt numFmtId="170" formatCode="_(\$* #,##0.00_);_(\$* \(#,##0.00\);_(\$* \-??_);_(@_)"/>
    <numFmt numFmtId="171" formatCode="_(\$* #,##0_);_(\$* \(#,##0\);_(\$* \-_);_(@_)"/>
    <numFmt numFmtId="172" formatCode="_(\$* #,##0_);_(\$* \(#,##0\);_(\$* \-_);_(@_)"/>
    <numFmt numFmtId="173" formatCode="0%"/>
    <numFmt numFmtId="174" formatCode="0.0%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7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70" fontId="4" fillId="0" borderId="0" applyFont="true" applyBorder="false" applyAlignment="false" applyProtection="false"/>
    <xf numFmtId="170" fontId="4" fillId="0" borderId="0" applyFont="true" applyBorder="false" applyAlignment="false" applyProtection="false"/>
    <xf numFmtId="170" fontId="4" fillId="0" borderId="0" applyFont="true" applyBorder="false" applyAlignment="false" applyProtection="false"/>
    <xf numFmtId="170" fontId="4" fillId="0" borderId="0" applyFont="true" applyBorder="false" applyAlignment="false" applyProtection="false"/>
    <xf numFmtId="170" fontId="4" fillId="0" borderId="0" applyFont="true" applyBorder="false" applyAlignment="false" applyProtection="false"/>
    <xf numFmtId="170" fontId="4" fillId="0" borderId="0" applyFont="true" applyBorder="false" applyAlignment="false" applyProtection="false"/>
    <xf numFmtId="170" fontId="4" fillId="0" borderId="0" applyFont="true" applyBorder="false" applyAlignment="false" applyProtection="false"/>
    <xf numFmtId="170" fontId="4" fillId="0" borderId="0" applyFont="true" applyBorder="false" applyAlignment="false" applyProtection="false"/>
    <xf numFmtId="171" fontId="4" fillId="0" borderId="0" applyFont="true" applyBorder="false" applyAlignment="false" applyProtection="false"/>
    <xf numFmtId="172" fontId="4" fillId="0" borderId="0" applyFont="true" applyBorder="false" applyAlignment="false" applyProtection="false"/>
    <xf numFmtId="172" fontId="4" fillId="0" borderId="0" applyFont="true" applyBorder="false" applyAlignment="false" applyProtection="false"/>
    <xf numFmtId="172" fontId="4" fillId="0" borderId="0" applyFont="true" applyBorder="false" applyAlignment="false" applyProtection="false"/>
    <xf numFmtId="172" fontId="4" fillId="0" borderId="0" applyFont="true" applyBorder="false" applyAlignment="false" applyProtection="false"/>
    <xf numFmtId="172" fontId="4" fillId="0" borderId="0" applyFont="true" applyBorder="false" applyAlignment="false" applyProtection="false"/>
    <xf numFmtId="172" fontId="4" fillId="0" borderId="0" applyFont="true" applyBorder="false" applyAlignment="false" applyProtection="false"/>
    <xf numFmtId="172" fontId="4" fillId="0" borderId="0" applyFont="true" applyBorder="false" applyAlignment="false" applyProtection="false"/>
    <xf numFmtId="172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false" applyAlignment="false" applyProtection="false"/>
    <xf numFmtId="173" fontId="4" fillId="0" borderId="0" applyFont="true" applyBorder="false" applyAlignment="false" applyProtection="false"/>
    <xf numFmtId="173" fontId="4" fillId="0" borderId="0" applyFont="true" applyBorder="false" applyAlignment="false" applyProtection="false"/>
    <xf numFmtId="173" fontId="4" fillId="0" borderId="0" applyFont="true" applyBorder="false" applyAlignment="false" applyProtection="false"/>
    <xf numFmtId="173" fontId="4" fillId="0" borderId="0" applyFont="true" applyBorder="false" applyAlignment="false" applyProtection="false"/>
    <xf numFmtId="173" fontId="4" fillId="0" borderId="0" applyFont="true" applyBorder="false" applyAlignment="false" applyProtection="false"/>
    <xf numFmtId="173" fontId="4" fillId="0" borderId="0" applyFont="true" applyBorder="false" applyAlignment="false" applyProtection="false"/>
    <xf numFmtId="173" fontId="4" fillId="0" borderId="0" applyFont="true" applyBorder="false" applyAlignment="false" applyProtection="false"/>
    <xf numFmtId="173" fontId="4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6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6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6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61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6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6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6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56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4" fontId="5" fillId="0" borderId="0" xfId="6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6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5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56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2" xfId="22"/>
    <cellStyle name="Comma 3" xfId="23"/>
    <cellStyle name="Comma 4" xfId="24"/>
    <cellStyle name="Comma 5" xfId="25"/>
    <cellStyle name="Comma 6" xfId="26"/>
    <cellStyle name="Comma 7" xfId="27"/>
    <cellStyle name="Comma 8" xfId="28"/>
    <cellStyle name="Comma [0]" xfId="29"/>
    <cellStyle name="Comma [0] 2" xfId="30"/>
    <cellStyle name="Comma [0] 3" xfId="31"/>
    <cellStyle name="Comma [0] 4" xfId="32"/>
    <cellStyle name="Comma [0] 5" xfId="33"/>
    <cellStyle name="Comma [0] 6" xfId="34"/>
    <cellStyle name="Comma [0] 7" xfId="35"/>
    <cellStyle name="Comma [0] 8" xfId="36"/>
    <cellStyle name="Comma [0] 9" xfId="37"/>
    <cellStyle name="Currency" xfId="38"/>
    <cellStyle name="Currency 10" xfId="39"/>
    <cellStyle name="Currency 3" xfId="40"/>
    <cellStyle name="Currency 4" xfId="41"/>
    <cellStyle name="Currency 5" xfId="42"/>
    <cellStyle name="Currency 6" xfId="43"/>
    <cellStyle name="Currency 7" xfId="44"/>
    <cellStyle name="Currency 8" xfId="45"/>
    <cellStyle name="Currency 9" xfId="46"/>
    <cellStyle name="Currency [0]" xfId="47"/>
    <cellStyle name="Currency [0] 10" xfId="48"/>
    <cellStyle name="Currency [0] 11" xfId="49"/>
    <cellStyle name="Currency [0] 4" xfId="50"/>
    <cellStyle name="Currency [0] 5" xfId="51"/>
    <cellStyle name="Currency [0] 6" xfId="52"/>
    <cellStyle name="Currency [0] 7" xfId="53"/>
    <cellStyle name="Currency [0] 8" xfId="54"/>
    <cellStyle name="Currency [0] 9" xfId="55"/>
    <cellStyle name="Normal" xfId="56"/>
    <cellStyle name="Normal 1" xfId="57"/>
    <cellStyle name="Normal 10" xfId="58"/>
    <cellStyle name="Normal 11" xfId="59"/>
    <cellStyle name="Normal 12" xfId="60"/>
    <cellStyle name="Normal 2" xfId="61"/>
    <cellStyle name="Normal 5" xfId="62"/>
    <cellStyle name="Normal 6" xfId="63"/>
    <cellStyle name="Normal 7" xfId="64"/>
    <cellStyle name="Normal 8" xfId="65"/>
    <cellStyle name="Normal 9" xfId="66"/>
    <cellStyle name="Percent" xfId="67"/>
    <cellStyle name="Percent 10" xfId="68"/>
    <cellStyle name="Percent 11" xfId="69"/>
    <cellStyle name="Percent 12" xfId="70"/>
    <cellStyle name="Percent 13" xfId="71"/>
    <cellStyle name="Percent 6" xfId="72"/>
    <cellStyle name="Percent 7" xfId="73"/>
    <cellStyle name="Percent 8" xfId="74"/>
    <cellStyle name="Percent 9" xfId="7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ligiblePlayers2026" displayName="EligiblePlayers2026" ref="A1:J437" headerRowCount="1" totalsRowCount="0" totalsRowShown="0">
  <tableColumns count="10">
    <tableColumn id="1" name="Player"/>
    <tableColumn id="2" name="Position"/>
    <tableColumn id="3" name="School"/>
    <tableColumn id="4" name="MLS NEXT Academy"/>
    <tableColumn id="5" name="Drafted?"/>
    <tableColumn id="6" name="Overall Pick"/>
    <tableColumn id="7" name="MLS Club"/>
    <tableColumn id="8" name="Signed Pro?"/>
    <tableColumn id="9" name="Pro / Current Team"/>
    <tableColumn id="10" name="Leagu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26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21"/>
    <col collapsed="false" customWidth="true" hidden="false" outlineLevel="0" max="8" min="8" style="1" width="12"/>
    <col collapsed="false" customWidth="true" hidden="false" outlineLevel="0" max="9" min="9" style="1" width="25"/>
    <col collapsed="false" customWidth="true" hidden="false" outlineLevel="0" max="10" min="10" style="1" width="19"/>
    <col collapsed="false" customWidth="true" hidden="false" outlineLevel="0" max="11" min="11" style="1" width="26"/>
    <col collapsed="false" customWidth="true" hidden="false" outlineLevel="0" max="12" min="12" style="1" width="20"/>
    <col collapsed="false" customWidth="true" hidden="false" outlineLevel="0" max="13" min="13" style="1" width="55"/>
    <col collapsed="false" customWidth="true" hidden="false" outlineLevel="0" max="14" min="14" style="1" width="58"/>
    <col collapsed="false" customWidth="true" hidden="false" outlineLevel="0" max="15" min="15" style="1" width="14"/>
    <col collapsed="false" customWidth="true" hidden="false" outlineLevel="0" max="16" min="16" style="1" width="24"/>
    <col collapsed="false" customWidth="true" hidden="false" outlineLevel="0" max="17" min="17" style="1" width="15"/>
    <col collapsed="false" customWidth="true" hidden="false" outlineLevel="0" max="18" min="18" style="1" width="20"/>
    <col collapsed="false" customWidth="true" hidden="false" outlineLevel="0" max="19" min="19" style="2" width="55"/>
    <col collapsed="false" customWidth="true" hidden="false" outlineLevel="0" max="20" min="20" style="2" width="22"/>
    <col collapsed="false" customWidth="true" hidden="false" outlineLevel="0" max="21" min="21" style="2" width="55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</row>
    <row r="2" customFormat="false" ht="15" hidden="false" customHeight="true" outlineLevel="0" collapsed="false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/>
      <c r="G2" s="6"/>
      <c r="H2" s="6" t="s">
        <v>26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31</v>
      </c>
      <c r="N2" s="6" t="s">
        <v>32</v>
      </c>
      <c r="O2" s="6" t="s">
        <v>33</v>
      </c>
      <c r="P2" s="1" t="str">
        <f aca="false">IF(H2="Yes",IF(J2="MLS","Pro - MLS",IF(J2="MLS NEXT Pro","Pro - MLS NEXT Pro",IF(J2="USL Championship","Pro - USL Championship",IF(J2="USL League One","Pro - USL League One","Pro - Other")))),IF(H2="No",IF(K2="Amateur / Pre-Professional","Amateur / Pre-Professional","Returned to College"),"Unknown"))</f>
        <v>Pro - USL League One</v>
      </c>
      <c r="Q2" s="1" t="str">
        <f aca="false">IF(E2="Yes","Yes","No")</f>
        <v>No</v>
      </c>
      <c r="R2" s="1" t="str">
        <f aca="false">IF(H2="Yes","Yes","No")</f>
        <v>Yes</v>
      </c>
      <c r="S2" s="2" t="s">
        <v>34</v>
      </c>
      <c r="T2" s="2" t="s">
        <v>35</v>
      </c>
      <c r="U2" s="2" t="s">
        <v>36</v>
      </c>
    </row>
    <row r="3" customFormat="false" ht="15" hidden="false" customHeight="true" outlineLevel="0" collapsed="false">
      <c r="A3" s="6" t="s">
        <v>37</v>
      </c>
      <c r="B3" s="6" t="s">
        <v>38</v>
      </c>
      <c r="C3" s="6" t="s">
        <v>39</v>
      </c>
      <c r="D3" s="6"/>
      <c r="E3" s="6" t="s">
        <v>25</v>
      </c>
      <c r="F3" s="6"/>
      <c r="G3" s="6"/>
      <c r="H3" s="6" t="s">
        <v>25</v>
      </c>
      <c r="I3" s="6" t="s">
        <v>40</v>
      </c>
      <c r="J3" s="6" t="s">
        <v>41</v>
      </c>
      <c r="K3" s="6" t="s">
        <v>42</v>
      </c>
      <c r="L3" s="6" t="s">
        <v>43</v>
      </c>
      <c r="M3" s="6" t="s">
        <v>44</v>
      </c>
      <c r="N3" s="6" t="s">
        <v>45</v>
      </c>
      <c r="O3" s="6" t="s">
        <v>33</v>
      </c>
      <c r="P3" s="1" t="str">
        <f aca="false">IF(H3="Yes",IF(J3="MLS","Pro - MLS",IF(J3="MLS NEXT Pro","Pro - MLS NEXT Pro",IF(J3="USL Championship","Pro - USL Championship",IF(J3="USL League One","Pro - USL League One","Pro - Other")))),IF(H3="No",IF(K3="Amateur / Pre-Professional","Amateur / Pre-Professional","Returned to College"),"Unknown"))</f>
        <v>Amateur / Pre-Professional</v>
      </c>
      <c r="Q3" s="1" t="str">
        <f aca="false">IF(E3="Yes","Yes","No")</f>
        <v>No</v>
      </c>
      <c r="R3" s="1" t="str">
        <f aca="false">IF(H3="Yes","Yes","No")</f>
        <v>No</v>
      </c>
      <c r="S3" s="2" t="s">
        <v>46</v>
      </c>
      <c r="T3" s="2" t="s">
        <v>35</v>
      </c>
      <c r="U3" s="2" t="s">
        <v>36</v>
      </c>
    </row>
    <row r="4" customFormat="false" ht="27.75" hidden="false" customHeight="true" outlineLevel="0" collapsed="false">
      <c r="A4" s="6" t="s">
        <v>47</v>
      </c>
      <c r="B4" s="6" t="s">
        <v>48</v>
      </c>
      <c r="C4" s="6" t="s">
        <v>49</v>
      </c>
      <c r="D4" s="6"/>
      <c r="E4" s="6" t="s">
        <v>26</v>
      </c>
      <c r="F4" s="6" t="n">
        <v>52</v>
      </c>
      <c r="G4" s="6" t="s">
        <v>50</v>
      </c>
      <c r="H4" s="6" t="s">
        <v>25</v>
      </c>
      <c r="I4" s="6" t="s">
        <v>39</v>
      </c>
      <c r="J4" s="6" t="s">
        <v>51</v>
      </c>
      <c r="K4" s="6" t="s">
        <v>52</v>
      </c>
      <c r="L4" s="6" t="s">
        <v>53</v>
      </c>
      <c r="M4" s="6" t="s">
        <v>54</v>
      </c>
      <c r="N4" s="6" t="s">
        <v>55</v>
      </c>
      <c r="O4" s="6" t="s">
        <v>33</v>
      </c>
      <c r="P4" s="1" t="str">
        <f aca="false">IF(H4="Yes",IF(J4="MLS","Pro - MLS",IF(J4="MLS NEXT Pro","Pro - MLS NEXT Pro",IF(J4="USL Championship","Pro - USL Championship",IF(J4="USL League One","Pro - USL League One","Pro - Other")))),IF(H4="No",IF(K4="Amateur / Pre-Professional","Amateur / Pre-Professional","Returned to College"),"Unknown"))</f>
        <v>Returned to College</v>
      </c>
      <c r="Q4" s="1" t="str">
        <f aca="false">IF(E4="Yes","Yes","No")</f>
        <v>Yes</v>
      </c>
      <c r="R4" s="1" t="str">
        <f aca="false">IF(H4="Yes","Yes","No")</f>
        <v>No</v>
      </c>
      <c r="U4" s="2" t="s">
        <v>56</v>
      </c>
    </row>
    <row r="5" customFormat="false" ht="27.75" hidden="false" customHeight="true" outlineLevel="0" collapsed="false">
      <c r="A5" s="6" t="s">
        <v>57</v>
      </c>
      <c r="B5" s="6" t="s">
        <v>22</v>
      </c>
      <c r="C5" s="6" t="s">
        <v>58</v>
      </c>
      <c r="D5" s="6"/>
      <c r="E5" s="6" t="s">
        <v>26</v>
      </c>
      <c r="F5" s="6" t="n">
        <v>58</v>
      </c>
      <c r="G5" s="6" t="s">
        <v>59</v>
      </c>
      <c r="H5" s="6" t="s">
        <v>25</v>
      </c>
      <c r="I5" s="6" t="s">
        <v>58</v>
      </c>
      <c r="J5" s="6" t="s">
        <v>51</v>
      </c>
      <c r="K5" s="6" t="s">
        <v>52</v>
      </c>
      <c r="L5" s="6" t="s">
        <v>53</v>
      </c>
      <c r="M5" s="6" t="s">
        <v>60</v>
      </c>
      <c r="N5" s="6" t="s">
        <v>61</v>
      </c>
      <c r="O5" s="6" t="s">
        <v>33</v>
      </c>
      <c r="P5" s="1" t="str">
        <f aca="false">IF(H5="Yes",IF(J5="MLS","Pro - MLS",IF(J5="MLS NEXT Pro","Pro - MLS NEXT Pro",IF(J5="USL Championship","Pro - USL Championship",IF(J5="USL League One","Pro - USL League One","Pro - Other")))),IF(H5="No",IF(K5="Amateur / Pre-Professional","Amateur / Pre-Professional","Returned to College"),"Unknown"))</f>
        <v>Returned to College</v>
      </c>
      <c r="Q5" s="1" t="str">
        <f aca="false">IF(E5="Yes","Yes","No")</f>
        <v>Yes</v>
      </c>
      <c r="R5" s="1" t="str">
        <f aca="false">IF(H5="Yes","Yes","No")</f>
        <v>No</v>
      </c>
      <c r="U5" s="2" t="s">
        <v>56</v>
      </c>
    </row>
    <row r="6" customFormat="false" ht="27.75" hidden="false" customHeight="true" outlineLevel="0" collapsed="false">
      <c r="A6" s="6" t="s">
        <v>62</v>
      </c>
      <c r="B6" s="6" t="s">
        <v>63</v>
      </c>
      <c r="C6" s="6" t="s">
        <v>64</v>
      </c>
      <c r="D6" s="6" t="s">
        <v>65</v>
      </c>
      <c r="E6" s="6" t="s">
        <v>26</v>
      </c>
      <c r="F6" s="6" t="n">
        <v>4</v>
      </c>
      <c r="G6" s="6" t="s">
        <v>66</v>
      </c>
      <c r="H6" s="6" t="s">
        <v>26</v>
      </c>
      <c r="I6" s="6" t="s">
        <v>66</v>
      </c>
      <c r="J6" s="6" t="s">
        <v>67</v>
      </c>
      <c r="K6" s="6" t="s">
        <v>29</v>
      </c>
      <c r="L6" s="6" t="s">
        <v>68</v>
      </c>
      <c r="M6" s="6" t="s">
        <v>69</v>
      </c>
      <c r="N6" s="6" t="s">
        <v>70</v>
      </c>
      <c r="O6" s="6" t="s">
        <v>71</v>
      </c>
      <c r="P6" s="1" t="str">
        <f aca="false">IF(H6="Yes",IF(J6="MLS","Pro - MLS",IF(J6="MLS NEXT Pro","Pro - MLS NEXT Pro",IF(J6="USL Championship","Pro - USL Championship",IF(J6="USL League One","Pro - USL League One","Pro - Other")))),IF(H6="No",IF(K6="Amateur / Pre-Professional","Amateur / Pre-Professional","Returned to College"),"Unknown"))</f>
        <v>Pro - MLS</v>
      </c>
      <c r="Q6" s="1" t="str">
        <f aca="false">IF(E6="Yes","Yes","No")</f>
        <v>Yes</v>
      </c>
      <c r="R6" s="1" t="str">
        <f aca="false">IF(H6="Yes","Yes","No")</f>
        <v>Yes</v>
      </c>
      <c r="U6" s="2" t="s">
        <v>56</v>
      </c>
    </row>
    <row r="7" customFormat="false" ht="15" hidden="false" customHeight="true" outlineLevel="0" collapsed="false">
      <c r="A7" s="6" t="s">
        <v>72</v>
      </c>
      <c r="B7" s="6" t="s">
        <v>48</v>
      </c>
      <c r="C7" s="6" t="s">
        <v>73</v>
      </c>
      <c r="D7" s="6" t="s">
        <v>74</v>
      </c>
      <c r="E7" s="6" t="s">
        <v>25</v>
      </c>
      <c r="F7" s="6"/>
      <c r="G7" s="6"/>
      <c r="H7" s="6" t="s">
        <v>26</v>
      </c>
      <c r="I7" s="6" t="s">
        <v>75</v>
      </c>
      <c r="J7" s="6" t="s">
        <v>76</v>
      </c>
      <c r="K7" s="6" t="s">
        <v>29</v>
      </c>
      <c r="L7" s="6" t="s">
        <v>30</v>
      </c>
      <c r="M7" s="6" t="s">
        <v>77</v>
      </c>
      <c r="N7" s="6" t="s">
        <v>78</v>
      </c>
      <c r="O7" s="6" t="s">
        <v>33</v>
      </c>
      <c r="P7" s="1" t="str">
        <f aca="false">IF(H7="Yes",IF(J7="MLS","Pro - MLS",IF(J7="MLS NEXT Pro","Pro - MLS NEXT Pro",IF(J7="USL Championship","Pro - USL Championship",IF(J7="USL League One","Pro - USL League One","Pro - Other")))),IF(H7="No",IF(K7="Amateur / Pre-Professional","Amateur / Pre-Professional","Returned to College"),"Unknown"))</f>
        <v>Pro - MLS NEXT Pro</v>
      </c>
      <c r="Q7" s="1" t="str">
        <f aca="false">IF(E7="Yes","Yes","No")</f>
        <v>No</v>
      </c>
      <c r="R7" s="1" t="str">
        <f aca="false">IF(H7="Yes","Yes","No")</f>
        <v>Yes</v>
      </c>
      <c r="S7" s="2" t="s">
        <v>79</v>
      </c>
      <c r="T7" s="2" t="s">
        <v>35</v>
      </c>
      <c r="U7" s="2" t="s">
        <v>36</v>
      </c>
    </row>
    <row r="8" customFormat="false" ht="15" hidden="false" customHeight="true" outlineLevel="0" collapsed="false">
      <c r="A8" s="6" t="s">
        <v>80</v>
      </c>
      <c r="B8" s="6" t="s">
        <v>48</v>
      </c>
      <c r="C8" s="6" t="s">
        <v>81</v>
      </c>
      <c r="D8" s="6" t="s">
        <v>82</v>
      </c>
      <c r="E8" s="6" t="s">
        <v>25</v>
      </c>
      <c r="F8" s="6"/>
      <c r="G8" s="6"/>
      <c r="H8" s="6" t="s">
        <v>25</v>
      </c>
      <c r="I8" s="6" t="s">
        <v>40</v>
      </c>
      <c r="J8" s="6" t="s">
        <v>41</v>
      </c>
      <c r="K8" s="6" t="s">
        <v>42</v>
      </c>
      <c r="L8" s="6" t="s">
        <v>83</v>
      </c>
      <c r="M8" s="6" t="s">
        <v>44</v>
      </c>
      <c r="N8" s="6" t="s">
        <v>84</v>
      </c>
      <c r="O8" s="6" t="s">
        <v>33</v>
      </c>
      <c r="P8" s="1" t="str">
        <f aca="false">IF(H8="Yes",IF(J8="MLS","Pro - MLS",IF(J8="MLS NEXT Pro","Pro - MLS NEXT Pro",IF(J8="USL Championship","Pro - USL Championship",IF(J8="USL League One","Pro - USL League One","Pro - Other")))),IF(H8="No",IF(K8="Amateur / Pre-Professional","Amateur / Pre-Professional","Returned to College"),"Unknown"))</f>
        <v>Amateur / Pre-Professional</v>
      </c>
      <c r="Q8" s="1" t="str">
        <f aca="false">IF(E8="Yes","Yes","No")</f>
        <v>No</v>
      </c>
      <c r="R8" s="1" t="str">
        <f aca="false">IF(H8="Yes","Yes","No")</f>
        <v>No</v>
      </c>
      <c r="U8" s="2" t="s">
        <v>56</v>
      </c>
    </row>
    <row r="9" customFormat="false" ht="15" hidden="false" customHeight="true" outlineLevel="0" collapsed="false">
      <c r="A9" s="6" t="s">
        <v>85</v>
      </c>
      <c r="B9" s="6" t="s">
        <v>48</v>
      </c>
      <c r="C9" s="6" t="s">
        <v>86</v>
      </c>
      <c r="D9" s="6" t="s">
        <v>87</v>
      </c>
      <c r="E9" s="6" t="s">
        <v>25</v>
      </c>
      <c r="F9" s="6"/>
      <c r="G9" s="6"/>
      <c r="H9" s="6"/>
      <c r="I9" s="6"/>
      <c r="J9" s="6"/>
      <c r="K9" s="6" t="s">
        <v>88</v>
      </c>
      <c r="L9" s="6" t="s">
        <v>53</v>
      </c>
      <c r="M9" s="6"/>
      <c r="N9" s="6"/>
      <c r="O9" s="6" t="s">
        <v>71</v>
      </c>
      <c r="P9" s="1" t="str">
        <f aca="false">IF(H9="Yes",IF(J9="MLS","Pro - MLS",IF(J9="MLS NEXT Pro","Pro - MLS NEXT Pro",IF(J9="USL Championship","Pro - USL Championship",IF(J9="USL League One","Pro - USL League One","Pro - Other")))),IF(H9="No",IF(K9="Amateur / Pre-Professional","Amateur / Pre-Professional","Returned to College"),"Unknown"))</f>
        <v>Unknown</v>
      </c>
      <c r="Q9" s="1" t="str">
        <f aca="false">IF(E9="Yes","Yes","No")</f>
        <v>No</v>
      </c>
      <c r="R9" s="1" t="str">
        <f aca="false">IF(H9="Yes","Yes","No")</f>
        <v>No</v>
      </c>
      <c r="S9" s="2" t="s">
        <v>89</v>
      </c>
      <c r="T9" s="2" t="s">
        <v>35</v>
      </c>
      <c r="U9" s="2" t="s">
        <v>36</v>
      </c>
    </row>
    <row r="10" customFormat="false" ht="15" hidden="false" customHeight="true" outlineLevel="0" collapsed="false">
      <c r="A10" s="6" t="s">
        <v>90</v>
      </c>
      <c r="B10" s="6" t="s">
        <v>48</v>
      </c>
      <c r="C10" s="6" t="s">
        <v>91</v>
      </c>
      <c r="D10" s="6"/>
      <c r="E10" s="6" t="s">
        <v>25</v>
      </c>
      <c r="F10" s="6"/>
      <c r="G10" s="6"/>
      <c r="H10" s="6" t="s">
        <v>25</v>
      </c>
      <c r="I10" s="6" t="s">
        <v>91</v>
      </c>
      <c r="J10" s="6" t="s">
        <v>51</v>
      </c>
      <c r="K10" s="6" t="s">
        <v>52</v>
      </c>
      <c r="L10" s="6" t="s">
        <v>92</v>
      </c>
      <c r="M10" s="6" t="s">
        <v>93</v>
      </c>
      <c r="N10" s="6" t="s">
        <v>94</v>
      </c>
      <c r="O10" s="6" t="s">
        <v>33</v>
      </c>
      <c r="P10" s="1" t="str">
        <f aca="false">IF(H10="Yes",IF(J10="MLS","Pro - MLS",IF(J10="MLS NEXT Pro","Pro - MLS NEXT Pro",IF(J10="USL Championship","Pro - USL Championship",IF(J10="USL League One","Pro - USL League One","Pro - Other")))),IF(H10="No",IF(K10="Amateur / Pre-Professional","Amateur / Pre-Professional","Returned to College"),"Unknown"))</f>
        <v>Returned to College</v>
      </c>
      <c r="Q10" s="1" t="str">
        <f aca="false">IF(E10="Yes","Yes","No")</f>
        <v>No</v>
      </c>
      <c r="R10" s="1" t="str">
        <f aca="false">IF(H10="Yes","Yes","No")</f>
        <v>No</v>
      </c>
      <c r="S10" s="2" t="s">
        <v>95</v>
      </c>
      <c r="T10" s="2" t="s">
        <v>35</v>
      </c>
      <c r="U10" s="2" t="s">
        <v>36</v>
      </c>
    </row>
    <row r="11" customFormat="false" ht="15" hidden="false" customHeight="true" outlineLevel="0" collapsed="false">
      <c r="A11" s="6" t="s">
        <v>96</v>
      </c>
      <c r="B11" s="6" t="s">
        <v>22</v>
      </c>
      <c r="C11" s="6" t="s">
        <v>97</v>
      </c>
      <c r="D11" s="6"/>
      <c r="E11" s="6" t="s">
        <v>25</v>
      </c>
      <c r="F11" s="6"/>
      <c r="G11" s="6"/>
      <c r="H11" s="6"/>
      <c r="I11" s="6"/>
      <c r="J11" s="6"/>
      <c r="K11" s="6" t="s">
        <v>88</v>
      </c>
      <c r="L11" s="6" t="s">
        <v>30</v>
      </c>
      <c r="M11" s="6"/>
      <c r="N11" s="6"/>
      <c r="O11" s="6" t="s">
        <v>71</v>
      </c>
      <c r="P11" s="1" t="str">
        <f aca="false">IF(H11="Yes",IF(J11="MLS","Pro - MLS",IF(J11="MLS NEXT Pro","Pro - MLS NEXT Pro",IF(J11="USL Championship","Pro - USL Championship",IF(J11="USL League One","Pro - USL League One","Pro - Other")))),IF(H11="No",IF(K11="Amateur / Pre-Professional","Amateur / Pre-Professional","Returned to College"),"Unknown"))</f>
        <v>Unknown</v>
      </c>
      <c r="Q11" s="1" t="str">
        <f aca="false">IF(E11="Yes","Yes","No")</f>
        <v>No</v>
      </c>
      <c r="R11" s="1" t="str">
        <f aca="false">IF(H11="Yes","Yes","No")</f>
        <v>No</v>
      </c>
      <c r="S11" s="2" t="s">
        <v>98</v>
      </c>
      <c r="T11" s="2" t="s">
        <v>35</v>
      </c>
      <c r="U11" s="2" t="s">
        <v>36</v>
      </c>
    </row>
    <row r="12" customFormat="false" ht="15" hidden="false" customHeight="true" outlineLevel="0" collapsed="false">
      <c r="A12" s="6" t="s">
        <v>99</v>
      </c>
      <c r="B12" s="6" t="s">
        <v>48</v>
      </c>
      <c r="C12" s="6" t="s">
        <v>100</v>
      </c>
      <c r="D12" s="6" t="s">
        <v>82</v>
      </c>
      <c r="E12" s="6" t="s">
        <v>25</v>
      </c>
      <c r="F12" s="6"/>
      <c r="G12" s="6"/>
      <c r="H12" s="6" t="s">
        <v>25</v>
      </c>
      <c r="I12" s="6" t="s">
        <v>100</v>
      </c>
      <c r="J12" s="6" t="s">
        <v>51</v>
      </c>
      <c r="K12" s="6" t="s">
        <v>52</v>
      </c>
      <c r="L12" s="6" t="s">
        <v>30</v>
      </c>
      <c r="M12" s="6" t="s">
        <v>101</v>
      </c>
      <c r="N12" s="6" t="s">
        <v>102</v>
      </c>
      <c r="O12" s="6" t="s">
        <v>33</v>
      </c>
      <c r="P12" s="1" t="str">
        <f aca="false">IF(H12="Yes",IF(J12="MLS","Pro - MLS",IF(J12="MLS NEXT Pro","Pro - MLS NEXT Pro",IF(J12="USL Championship","Pro - USL Championship",IF(J12="USL League One","Pro - USL League One","Pro - Other")))),IF(H12="No",IF(K12="Amateur / Pre-Professional","Amateur / Pre-Professional","Returned to College"),"Unknown"))</f>
        <v>Returned to College</v>
      </c>
      <c r="Q12" s="1" t="str">
        <f aca="false">IF(E12="Yes","Yes","No")</f>
        <v>No</v>
      </c>
      <c r="R12" s="1" t="str">
        <f aca="false">IF(H12="Yes","Yes","No")</f>
        <v>No</v>
      </c>
      <c r="S12" s="2" t="s">
        <v>103</v>
      </c>
      <c r="T12" s="2" t="s">
        <v>35</v>
      </c>
      <c r="U12" s="2" t="s">
        <v>36</v>
      </c>
    </row>
    <row r="13" customFormat="false" ht="15" hidden="false" customHeight="true" outlineLevel="0" collapsed="false">
      <c r="A13" s="6" t="s">
        <v>104</v>
      </c>
      <c r="B13" s="6" t="s">
        <v>22</v>
      </c>
      <c r="C13" s="6" t="s">
        <v>105</v>
      </c>
      <c r="D13" s="6"/>
      <c r="E13" s="6" t="s">
        <v>25</v>
      </c>
      <c r="F13" s="6"/>
      <c r="G13" s="6"/>
      <c r="H13" s="6" t="s">
        <v>25</v>
      </c>
      <c r="I13" s="6" t="s">
        <v>105</v>
      </c>
      <c r="J13" s="6" t="s">
        <v>51</v>
      </c>
      <c r="K13" s="6" t="s">
        <v>52</v>
      </c>
      <c r="L13" s="6" t="s">
        <v>83</v>
      </c>
      <c r="M13" s="6" t="s">
        <v>106</v>
      </c>
      <c r="N13" s="6" t="s">
        <v>107</v>
      </c>
      <c r="O13" s="6" t="s">
        <v>33</v>
      </c>
      <c r="P13" s="1" t="str">
        <f aca="false">IF(H13="Yes",IF(J13="MLS","Pro - MLS",IF(J13="MLS NEXT Pro","Pro - MLS NEXT Pro",IF(J13="USL Championship","Pro - USL Championship",IF(J13="USL League One","Pro - USL League One","Pro - Other")))),IF(H13="No",IF(K13="Amateur / Pre-Professional","Amateur / Pre-Professional","Returned to College"),"Unknown"))</f>
        <v>Returned to College</v>
      </c>
      <c r="Q13" s="1" t="str">
        <f aca="false">IF(E13="Yes","Yes","No")</f>
        <v>No</v>
      </c>
      <c r="R13" s="1" t="str">
        <f aca="false">IF(H13="Yes","Yes","No")</f>
        <v>No</v>
      </c>
      <c r="S13" s="2" t="s">
        <v>108</v>
      </c>
      <c r="T13" s="2" t="s">
        <v>35</v>
      </c>
      <c r="U13" s="2" t="s">
        <v>109</v>
      </c>
    </row>
    <row r="14" customFormat="false" ht="15" hidden="false" customHeight="true" outlineLevel="0" collapsed="false">
      <c r="A14" s="6" t="s">
        <v>110</v>
      </c>
      <c r="B14" s="6" t="s">
        <v>48</v>
      </c>
      <c r="C14" s="6" t="s">
        <v>111</v>
      </c>
      <c r="D14" s="6" t="s">
        <v>112</v>
      </c>
      <c r="E14" s="6" t="s">
        <v>25</v>
      </c>
      <c r="F14" s="6"/>
      <c r="G14" s="6"/>
      <c r="H14" s="6"/>
      <c r="I14" s="6"/>
      <c r="J14" s="6"/>
      <c r="K14" s="6" t="s">
        <v>88</v>
      </c>
      <c r="L14" s="6" t="s">
        <v>30</v>
      </c>
      <c r="M14" s="6"/>
      <c r="N14" s="6"/>
      <c r="O14" s="6" t="s">
        <v>71</v>
      </c>
      <c r="P14" s="1" t="str">
        <f aca="false">IF(H14="Yes",IF(J14="MLS","Pro - MLS",IF(J14="MLS NEXT Pro","Pro - MLS NEXT Pro",IF(J14="USL Championship","Pro - USL Championship",IF(J14="USL League One","Pro - USL League One","Pro - Other")))),IF(H14="No",IF(K14="Amateur / Pre-Professional","Amateur / Pre-Professional","Returned to College"),"Unknown"))</f>
        <v>Unknown</v>
      </c>
      <c r="Q14" s="1" t="str">
        <f aca="false">IF(E14="Yes","Yes","No")</f>
        <v>No</v>
      </c>
      <c r="R14" s="1" t="str">
        <f aca="false">IF(H14="Yes","Yes","No")</f>
        <v>No</v>
      </c>
      <c r="S14" s="2" t="s">
        <v>113</v>
      </c>
      <c r="T14" s="2" t="s">
        <v>35</v>
      </c>
      <c r="U14" s="2" t="s">
        <v>36</v>
      </c>
    </row>
    <row r="15" customFormat="false" ht="15" hidden="false" customHeight="true" outlineLevel="0" collapsed="false">
      <c r="A15" s="6" t="s">
        <v>114</v>
      </c>
      <c r="B15" s="6" t="s">
        <v>63</v>
      </c>
      <c r="C15" s="6" t="s">
        <v>115</v>
      </c>
      <c r="D15" s="6"/>
      <c r="E15" s="6" t="s">
        <v>25</v>
      </c>
      <c r="F15" s="6"/>
      <c r="G15" s="6"/>
      <c r="H15" s="6" t="s">
        <v>25</v>
      </c>
      <c r="I15" s="6" t="s">
        <v>115</v>
      </c>
      <c r="J15" s="6" t="s">
        <v>51</v>
      </c>
      <c r="K15" s="6" t="s">
        <v>52</v>
      </c>
      <c r="L15" s="6" t="s">
        <v>53</v>
      </c>
      <c r="M15" s="6" t="s">
        <v>116</v>
      </c>
      <c r="N15" s="6" t="s">
        <v>117</v>
      </c>
      <c r="O15" s="6" t="s">
        <v>33</v>
      </c>
      <c r="P15" s="1" t="str">
        <f aca="false">IF(H15="Yes",IF(J15="MLS","Pro - MLS",IF(J15="MLS NEXT Pro","Pro - MLS NEXT Pro",IF(J15="USL Championship","Pro - USL Championship",IF(J15="USL League One","Pro - USL League One","Pro - Other")))),IF(H15="No",IF(K15="Amateur / Pre-Professional","Amateur / Pre-Professional","Returned to College"),"Unknown"))</f>
        <v>Returned to College</v>
      </c>
      <c r="Q15" s="1" t="str">
        <f aca="false">IF(E15="Yes","Yes","No")</f>
        <v>No</v>
      </c>
      <c r="R15" s="1" t="str">
        <f aca="false">IF(H15="Yes","Yes","No")</f>
        <v>No</v>
      </c>
      <c r="S15" s="2" t="s">
        <v>118</v>
      </c>
      <c r="T15" s="2" t="s">
        <v>35</v>
      </c>
      <c r="U15" s="2" t="s">
        <v>36</v>
      </c>
    </row>
    <row r="16" customFormat="false" ht="27.75" hidden="false" customHeight="true" outlineLevel="0" collapsed="false">
      <c r="A16" s="6" t="s">
        <v>119</v>
      </c>
      <c r="B16" s="6" t="s">
        <v>22</v>
      </c>
      <c r="C16" s="6" t="s">
        <v>91</v>
      </c>
      <c r="D16" s="6" t="s">
        <v>120</v>
      </c>
      <c r="E16" s="6" t="s">
        <v>26</v>
      </c>
      <c r="F16" s="6" t="n">
        <v>8</v>
      </c>
      <c r="G16" s="6" t="s">
        <v>121</v>
      </c>
      <c r="H16" s="6" t="s">
        <v>26</v>
      </c>
      <c r="I16" s="6" t="s">
        <v>121</v>
      </c>
      <c r="J16" s="6" t="s">
        <v>67</v>
      </c>
      <c r="K16" s="6" t="s">
        <v>29</v>
      </c>
      <c r="L16" s="6" t="s">
        <v>30</v>
      </c>
      <c r="M16" s="6" t="s">
        <v>69</v>
      </c>
      <c r="N16" s="6" t="s">
        <v>70</v>
      </c>
      <c r="O16" s="6" t="s">
        <v>71</v>
      </c>
      <c r="P16" s="1" t="str">
        <f aca="false">IF(H16="Yes",IF(J16="MLS","Pro - MLS",IF(J16="MLS NEXT Pro","Pro - MLS NEXT Pro",IF(J16="USL Championship","Pro - USL Championship",IF(J16="USL League One","Pro - USL League One","Pro - Other")))),IF(H16="No",IF(K16="Amateur / Pre-Professional","Amateur / Pre-Professional","Returned to College"),"Unknown"))</f>
        <v>Pro - MLS</v>
      </c>
      <c r="Q16" s="1" t="str">
        <f aca="false">IF(E16="Yes","Yes","No")</f>
        <v>Yes</v>
      </c>
      <c r="R16" s="1" t="str">
        <f aca="false">IF(H16="Yes","Yes","No")</f>
        <v>Yes</v>
      </c>
      <c r="U16" s="2" t="s">
        <v>56</v>
      </c>
    </row>
    <row r="17" customFormat="false" ht="15" hidden="false" customHeight="true" outlineLevel="0" collapsed="false">
      <c r="A17" s="6" t="s">
        <v>122</v>
      </c>
      <c r="B17" s="6" t="s">
        <v>22</v>
      </c>
      <c r="C17" s="6" t="s">
        <v>123</v>
      </c>
      <c r="D17" s="6"/>
      <c r="E17" s="6" t="s">
        <v>25</v>
      </c>
      <c r="F17" s="6"/>
      <c r="G17" s="6"/>
      <c r="H17" s="6" t="s">
        <v>25</v>
      </c>
      <c r="I17" s="6" t="s">
        <v>123</v>
      </c>
      <c r="J17" s="6" t="s">
        <v>51</v>
      </c>
      <c r="K17" s="6" t="s">
        <v>52</v>
      </c>
      <c r="L17" s="6" t="s">
        <v>83</v>
      </c>
      <c r="M17" s="6" t="s">
        <v>124</v>
      </c>
      <c r="N17" s="6" t="s">
        <v>125</v>
      </c>
      <c r="O17" s="6" t="s">
        <v>33</v>
      </c>
      <c r="P17" s="1" t="str">
        <f aca="false">IF(H17="Yes",IF(J17="MLS","Pro - MLS",IF(J17="MLS NEXT Pro","Pro - MLS NEXT Pro",IF(J17="USL Championship","Pro - USL Championship",IF(J17="USL League One","Pro - USL League One","Pro - Other")))),IF(H17="No",IF(K17="Amateur / Pre-Professional","Amateur / Pre-Professional","Returned to College"),"Unknown"))</f>
        <v>Returned to College</v>
      </c>
      <c r="Q17" s="1" t="str">
        <f aca="false">IF(E17="Yes","Yes","No")</f>
        <v>No</v>
      </c>
      <c r="R17" s="1" t="str">
        <f aca="false">IF(H17="Yes","Yes","No")</f>
        <v>No</v>
      </c>
      <c r="S17" s="2" t="s">
        <v>126</v>
      </c>
      <c r="T17" s="2" t="s">
        <v>35</v>
      </c>
      <c r="U17" s="2" t="s">
        <v>127</v>
      </c>
    </row>
    <row r="18" customFormat="false" ht="27.75" hidden="false" customHeight="true" outlineLevel="0" collapsed="false">
      <c r="A18" s="6" t="s">
        <v>128</v>
      </c>
      <c r="B18" s="6" t="s">
        <v>63</v>
      </c>
      <c r="C18" s="6" t="s">
        <v>129</v>
      </c>
      <c r="D18" s="6"/>
      <c r="E18" s="6" t="s">
        <v>26</v>
      </c>
      <c r="F18" s="6" t="n">
        <v>72</v>
      </c>
      <c r="G18" s="6" t="s">
        <v>130</v>
      </c>
      <c r="H18" s="6" t="s">
        <v>131</v>
      </c>
      <c r="I18" s="6"/>
      <c r="J18" s="6"/>
      <c r="K18" s="6" t="s">
        <v>132</v>
      </c>
      <c r="L18" s="6" t="s">
        <v>53</v>
      </c>
      <c r="M18" s="6" t="s">
        <v>133</v>
      </c>
      <c r="N18" s="6" t="s">
        <v>134</v>
      </c>
      <c r="O18" s="6" t="s">
        <v>71</v>
      </c>
      <c r="P18" s="1" t="str">
        <f aca="false">IF(H18="Yes",IF(J18="MLS","Pro - MLS",IF(J18="MLS NEXT Pro","Pro - MLS NEXT Pro",IF(J18="USL Championship","Pro - USL Championship",IF(J18="USL League One","Pro - USL League One","Pro - Other")))),IF(H18="No",IF(K18="Amateur / Pre-Professional","Amateur / Pre-Professional","Returned to College"),"Unknown"))</f>
        <v>Unknown</v>
      </c>
      <c r="Q18" s="1" t="str">
        <f aca="false">IF(E18="Yes","Yes","No")</f>
        <v>Yes</v>
      </c>
      <c r="R18" s="1" t="str">
        <f aca="false">IF(H18="Yes","Yes","No")</f>
        <v>No</v>
      </c>
      <c r="U18" s="2" t="s">
        <v>56</v>
      </c>
    </row>
    <row r="19" customFormat="false" ht="27.75" hidden="false" customHeight="true" outlineLevel="0" collapsed="false">
      <c r="A19" s="6" t="s">
        <v>135</v>
      </c>
      <c r="B19" s="6" t="s">
        <v>63</v>
      </c>
      <c r="C19" s="6" t="s">
        <v>136</v>
      </c>
      <c r="D19" s="6"/>
      <c r="E19" s="6" t="s">
        <v>26</v>
      </c>
      <c r="F19" s="6" t="n">
        <v>42</v>
      </c>
      <c r="G19" s="6" t="s">
        <v>137</v>
      </c>
      <c r="H19" s="6" t="s">
        <v>26</v>
      </c>
      <c r="I19" s="6" t="s">
        <v>138</v>
      </c>
      <c r="J19" s="6" t="s">
        <v>28</v>
      </c>
      <c r="K19" s="6" t="s">
        <v>29</v>
      </c>
      <c r="L19" s="6" t="s">
        <v>30</v>
      </c>
      <c r="M19" s="6" t="s">
        <v>133</v>
      </c>
      <c r="N19" s="6" t="s">
        <v>70</v>
      </c>
      <c r="O19" s="6" t="s">
        <v>71</v>
      </c>
      <c r="P19" s="1" t="str">
        <f aca="false">IF(H19="Yes",IF(J19="MLS","Pro - MLS",IF(J19="MLS NEXT Pro","Pro - MLS NEXT Pro",IF(J19="USL Championship","Pro - USL Championship",IF(J19="USL League One","Pro - USL League One","Pro - Other")))),IF(H19="No",IF(K19="Amateur / Pre-Professional","Amateur / Pre-Professional","Returned to College"),"Unknown"))</f>
        <v>Pro - USL League One</v>
      </c>
      <c r="Q19" s="1" t="str">
        <f aca="false">IF(E19="Yes","Yes","No")</f>
        <v>Yes</v>
      </c>
      <c r="R19" s="1" t="str">
        <f aca="false">IF(H19="Yes","Yes","No")</f>
        <v>Yes</v>
      </c>
      <c r="U19" s="2" t="s">
        <v>56</v>
      </c>
    </row>
    <row r="20" customFormat="false" ht="27.75" hidden="false" customHeight="true" outlineLevel="0" collapsed="false">
      <c r="A20" s="6" t="s">
        <v>139</v>
      </c>
      <c r="B20" s="6" t="s">
        <v>63</v>
      </c>
      <c r="C20" s="6" t="s">
        <v>140</v>
      </c>
      <c r="D20" s="6"/>
      <c r="E20" s="6" t="s">
        <v>25</v>
      </c>
      <c r="F20" s="6"/>
      <c r="G20" s="6"/>
      <c r="H20" s="6" t="s">
        <v>25</v>
      </c>
      <c r="I20" s="6" t="s">
        <v>140</v>
      </c>
      <c r="J20" s="6" t="s">
        <v>51</v>
      </c>
      <c r="K20" s="6" t="s">
        <v>52</v>
      </c>
      <c r="L20" s="6" t="s">
        <v>53</v>
      </c>
      <c r="M20" s="6" t="s">
        <v>141</v>
      </c>
      <c r="N20" s="6" t="s">
        <v>142</v>
      </c>
      <c r="O20" s="6" t="s">
        <v>33</v>
      </c>
      <c r="P20" s="1" t="str">
        <f aca="false">IF(H20="Yes",IF(J20="MLS","Pro - MLS",IF(J20="MLS NEXT Pro","Pro - MLS NEXT Pro",IF(J20="USL Championship","Pro - USL Championship",IF(J20="USL League One","Pro - USL League One","Pro - Other")))),IF(H20="No",IF(K20="Amateur / Pre-Professional","Amateur / Pre-Professional","Returned to College"),"Unknown"))</f>
        <v>Returned to College</v>
      </c>
      <c r="Q20" s="1" t="str">
        <f aca="false">IF(E20="Yes","Yes","No")</f>
        <v>No</v>
      </c>
      <c r="R20" s="1" t="str">
        <f aca="false">IF(H20="Yes","Yes","No")</f>
        <v>No</v>
      </c>
      <c r="S20" s="2" t="s">
        <v>143</v>
      </c>
      <c r="T20" s="2" t="s">
        <v>35</v>
      </c>
      <c r="U20" s="2" t="s">
        <v>36</v>
      </c>
    </row>
    <row r="21" customFormat="false" ht="15" hidden="false" customHeight="true" outlineLevel="0" collapsed="false">
      <c r="A21" s="6" t="s">
        <v>144</v>
      </c>
      <c r="B21" s="6" t="s">
        <v>22</v>
      </c>
      <c r="C21" s="6" t="s">
        <v>145</v>
      </c>
      <c r="D21" s="6"/>
      <c r="E21" s="6" t="s">
        <v>25</v>
      </c>
      <c r="F21" s="6"/>
      <c r="G21" s="6"/>
      <c r="H21" s="6"/>
      <c r="I21" s="6"/>
      <c r="J21" s="6"/>
      <c r="K21" s="6" t="s">
        <v>88</v>
      </c>
      <c r="L21" s="6" t="s">
        <v>43</v>
      </c>
      <c r="M21" s="6"/>
      <c r="N21" s="6"/>
      <c r="O21" s="6" t="s">
        <v>71</v>
      </c>
      <c r="P21" s="1" t="str">
        <f aca="false">IF(H21="Yes",IF(J21="MLS","Pro - MLS",IF(J21="MLS NEXT Pro","Pro - MLS NEXT Pro",IF(J21="USL Championship","Pro - USL Championship",IF(J21="USL League One","Pro - USL League One","Pro - Other")))),IF(H21="No",IF(K21="Amateur / Pre-Professional","Amateur / Pre-Professional","Returned to College"),"Unknown"))</f>
        <v>Unknown</v>
      </c>
      <c r="Q21" s="1" t="str">
        <f aca="false">IF(E21="Yes","Yes","No")</f>
        <v>No</v>
      </c>
      <c r="R21" s="1" t="str">
        <f aca="false">IF(H21="Yes","Yes","No")</f>
        <v>No</v>
      </c>
      <c r="S21" s="2" t="s">
        <v>146</v>
      </c>
      <c r="T21" s="2" t="s">
        <v>35</v>
      </c>
      <c r="U21" s="2" t="s">
        <v>36</v>
      </c>
    </row>
    <row r="22" customFormat="false" ht="15" hidden="false" customHeight="true" outlineLevel="0" collapsed="false">
      <c r="A22" s="6" t="s">
        <v>147</v>
      </c>
      <c r="B22" s="6" t="s">
        <v>48</v>
      </c>
      <c r="C22" s="6" t="s">
        <v>148</v>
      </c>
      <c r="D22" s="6"/>
      <c r="E22" s="6" t="s">
        <v>25</v>
      </c>
      <c r="F22" s="6"/>
      <c r="G22" s="6"/>
      <c r="H22" s="6" t="s">
        <v>26</v>
      </c>
      <c r="I22" s="6" t="s">
        <v>149</v>
      </c>
      <c r="J22" s="6" t="s">
        <v>76</v>
      </c>
      <c r="K22" s="6" t="s">
        <v>29</v>
      </c>
      <c r="L22" s="6" t="s">
        <v>43</v>
      </c>
      <c r="M22" s="6" t="s">
        <v>150</v>
      </c>
      <c r="N22" s="6" t="s">
        <v>151</v>
      </c>
      <c r="O22" s="6" t="s">
        <v>33</v>
      </c>
      <c r="P22" s="1" t="str">
        <f aca="false">IF(H22="Yes",IF(J22="MLS","Pro - MLS",IF(J22="MLS NEXT Pro","Pro - MLS NEXT Pro",IF(J22="USL Championship","Pro - USL Championship",IF(J22="USL League One","Pro - USL League One","Pro - Other")))),IF(H22="No",IF(K22="Amateur / Pre-Professional","Amateur / Pre-Professional","Returned to College"),"Unknown"))</f>
        <v>Pro - MLS NEXT Pro</v>
      </c>
      <c r="Q22" s="1" t="str">
        <f aca="false">IF(E22="Yes","Yes","No")</f>
        <v>No</v>
      </c>
      <c r="R22" s="1" t="str">
        <f aca="false">IF(H22="Yes","Yes","No")</f>
        <v>Yes</v>
      </c>
      <c r="S22" s="2" t="s">
        <v>152</v>
      </c>
      <c r="T22" s="2" t="s">
        <v>35</v>
      </c>
      <c r="U22" s="2" t="s">
        <v>153</v>
      </c>
    </row>
    <row r="23" customFormat="false" ht="15" hidden="false" customHeight="true" outlineLevel="0" collapsed="false">
      <c r="A23" s="6" t="s">
        <v>154</v>
      </c>
      <c r="B23" s="6" t="s">
        <v>22</v>
      </c>
      <c r="C23" s="6" t="s">
        <v>155</v>
      </c>
      <c r="D23" s="6" t="s">
        <v>156</v>
      </c>
      <c r="E23" s="6" t="s">
        <v>25</v>
      </c>
      <c r="F23" s="6"/>
      <c r="G23" s="6"/>
      <c r="H23" s="6"/>
      <c r="I23" s="6"/>
      <c r="J23" s="6"/>
      <c r="K23" s="6" t="s">
        <v>88</v>
      </c>
      <c r="L23" s="6" t="s">
        <v>43</v>
      </c>
      <c r="M23" s="6"/>
      <c r="N23" s="6"/>
      <c r="O23" s="6" t="s">
        <v>71</v>
      </c>
      <c r="P23" s="1" t="str">
        <f aca="false">IF(H23="Yes",IF(J23="MLS","Pro - MLS",IF(J23="MLS NEXT Pro","Pro - MLS NEXT Pro",IF(J23="USL Championship","Pro - USL Championship",IF(J23="USL League One","Pro - USL League One","Pro - Other")))),IF(H23="No",IF(K23="Amateur / Pre-Professional","Amateur / Pre-Professional","Returned to College"),"Unknown"))</f>
        <v>Unknown</v>
      </c>
      <c r="Q23" s="1" t="str">
        <f aca="false">IF(E23="Yes","Yes","No")</f>
        <v>No</v>
      </c>
      <c r="R23" s="1" t="str">
        <f aca="false">IF(H23="Yes","Yes","No")</f>
        <v>No</v>
      </c>
      <c r="S23" s="2" t="s">
        <v>157</v>
      </c>
      <c r="T23" s="2" t="s">
        <v>35</v>
      </c>
      <c r="U23" s="2" t="s">
        <v>36</v>
      </c>
    </row>
    <row r="24" customFormat="false" ht="27.75" hidden="false" customHeight="true" outlineLevel="0" collapsed="false">
      <c r="A24" s="6" t="s">
        <v>158</v>
      </c>
      <c r="B24" s="6" t="s">
        <v>22</v>
      </c>
      <c r="C24" s="6" t="s">
        <v>159</v>
      </c>
      <c r="D24" s="6" t="s">
        <v>160</v>
      </c>
      <c r="E24" s="6" t="s">
        <v>25</v>
      </c>
      <c r="F24" s="6"/>
      <c r="G24" s="6"/>
      <c r="H24" s="6"/>
      <c r="I24" s="6"/>
      <c r="J24" s="6"/>
      <c r="K24" s="6" t="s">
        <v>88</v>
      </c>
      <c r="L24" s="6" t="s">
        <v>53</v>
      </c>
      <c r="M24" s="6"/>
      <c r="N24" s="6"/>
      <c r="O24" s="6" t="s">
        <v>71</v>
      </c>
      <c r="P24" s="1" t="str">
        <f aca="false">IF(H24="Yes",IF(J24="MLS","Pro - MLS",IF(J24="MLS NEXT Pro","Pro - MLS NEXT Pro",IF(J24="USL Championship","Pro - USL Championship",IF(J24="USL League One","Pro - USL League One","Pro - Other")))),IF(H24="No",IF(K24="Amateur / Pre-Professional","Amateur / Pre-Professional","Returned to College"),"Unknown"))</f>
        <v>Unknown</v>
      </c>
      <c r="Q24" s="1" t="str">
        <f aca="false">IF(E24="Yes","Yes","No")</f>
        <v>No</v>
      </c>
      <c r="R24" s="1" t="str">
        <f aca="false">IF(H24="Yes","Yes","No")</f>
        <v>No</v>
      </c>
      <c r="S24" s="2" t="s">
        <v>161</v>
      </c>
      <c r="T24" s="2" t="s">
        <v>35</v>
      </c>
      <c r="U24" s="2" t="s">
        <v>36</v>
      </c>
    </row>
    <row r="25" customFormat="false" ht="27.75" hidden="false" customHeight="true" outlineLevel="0" collapsed="false">
      <c r="A25" s="6" t="s">
        <v>162</v>
      </c>
      <c r="B25" s="6" t="s">
        <v>63</v>
      </c>
      <c r="C25" s="6" t="s">
        <v>163</v>
      </c>
      <c r="D25" s="6"/>
      <c r="E25" s="6" t="s">
        <v>25</v>
      </c>
      <c r="F25" s="6"/>
      <c r="G25" s="6"/>
      <c r="H25" s="6" t="s">
        <v>25</v>
      </c>
      <c r="I25" s="6" t="s">
        <v>163</v>
      </c>
      <c r="J25" s="6" t="s">
        <v>51</v>
      </c>
      <c r="K25" s="6" t="s">
        <v>52</v>
      </c>
      <c r="L25" s="6" t="s">
        <v>83</v>
      </c>
      <c r="M25" s="6" t="s">
        <v>164</v>
      </c>
      <c r="N25" s="6" t="s">
        <v>165</v>
      </c>
      <c r="O25" s="6" t="s">
        <v>33</v>
      </c>
      <c r="P25" s="1" t="str">
        <f aca="false">IF(H25="Yes",IF(J25="MLS","Pro - MLS",IF(J25="MLS NEXT Pro","Pro - MLS NEXT Pro",IF(J25="USL Championship","Pro - USL Championship",IF(J25="USL League One","Pro - USL League One","Pro - Other")))),IF(H25="No",IF(K25="Amateur / Pre-Professional","Amateur / Pre-Professional","Returned to College"),"Unknown"))</f>
        <v>Returned to College</v>
      </c>
      <c r="Q25" s="1" t="str">
        <f aca="false">IF(E25="Yes","Yes","No")</f>
        <v>No</v>
      </c>
      <c r="R25" s="1" t="str">
        <f aca="false">IF(H25="Yes","Yes","No")</f>
        <v>No</v>
      </c>
      <c r="S25" s="2" t="s">
        <v>166</v>
      </c>
      <c r="T25" s="2" t="s">
        <v>35</v>
      </c>
      <c r="U25" s="2" t="s">
        <v>167</v>
      </c>
    </row>
    <row r="26" customFormat="false" ht="15" hidden="false" customHeight="true" outlineLevel="0" collapsed="false">
      <c r="A26" s="6" t="s">
        <v>168</v>
      </c>
      <c r="B26" s="6" t="s">
        <v>22</v>
      </c>
      <c r="C26" s="6" t="s">
        <v>169</v>
      </c>
      <c r="D26" s="6"/>
      <c r="E26" s="6" t="s">
        <v>25</v>
      </c>
      <c r="F26" s="6"/>
      <c r="G26" s="6"/>
      <c r="H26" s="6" t="s">
        <v>25</v>
      </c>
      <c r="I26" s="6" t="s">
        <v>169</v>
      </c>
      <c r="J26" s="6" t="s">
        <v>51</v>
      </c>
      <c r="K26" s="6" t="s">
        <v>52</v>
      </c>
      <c r="L26" s="6" t="s">
        <v>53</v>
      </c>
      <c r="M26" s="6" t="s">
        <v>170</v>
      </c>
      <c r="N26" s="6" t="s">
        <v>171</v>
      </c>
      <c r="O26" s="6" t="s">
        <v>33</v>
      </c>
      <c r="P26" s="1" t="str">
        <f aca="false">IF(H26="Yes",IF(J26="MLS","Pro - MLS",IF(J26="MLS NEXT Pro","Pro - MLS NEXT Pro",IF(J26="USL Championship","Pro - USL Championship",IF(J26="USL League One","Pro - USL League One","Pro - Other")))),IF(H26="No",IF(K26="Amateur / Pre-Professional","Amateur / Pre-Professional","Returned to College"),"Unknown"))</f>
        <v>Returned to College</v>
      </c>
      <c r="Q26" s="1" t="str">
        <f aca="false">IF(E26="Yes","Yes","No")</f>
        <v>No</v>
      </c>
      <c r="R26" s="1" t="str">
        <f aca="false">IF(H26="Yes","Yes","No")</f>
        <v>No</v>
      </c>
      <c r="S26" s="2" t="s">
        <v>172</v>
      </c>
      <c r="T26" s="2" t="s">
        <v>35</v>
      </c>
      <c r="U26" s="2" t="s">
        <v>36</v>
      </c>
    </row>
    <row r="27" customFormat="false" ht="15" hidden="false" customHeight="true" outlineLevel="0" collapsed="false">
      <c r="A27" s="6" t="s">
        <v>173</v>
      </c>
      <c r="B27" s="6" t="s">
        <v>63</v>
      </c>
      <c r="C27" s="6" t="s">
        <v>174</v>
      </c>
      <c r="D27" s="6"/>
      <c r="E27" s="6" t="s">
        <v>25</v>
      </c>
      <c r="F27" s="6"/>
      <c r="G27" s="6"/>
      <c r="H27" s="6"/>
      <c r="I27" s="6"/>
      <c r="J27" s="6"/>
      <c r="K27" s="6" t="s">
        <v>88</v>
      </c>
      <c r="L27" s="6" t="s">
        <v>30</v>
      </c>
      <c r="M27" s="6"/>
      <c r="N27" s="6"/>
      <c r="O27" s="6" t="s">
        <v>71</v>
      </c>
      <c r="P27" s="1" t="str">
        <f aca="false">IF(H27="Yes",IF(J27="MLS","Pro - MLS",IF(J27="MLS NEXT Pro","Pro - MLS NEXT Pro",IF(J27="USL Championship","Pro - USL Championship",IF(J27="USL League One","Pro - USL League One","Pro - Other")))),IF(H27="No",IF(K27="Amateur / Pre-Professional","Amateur / Pre-Professional","Returned to College"),"Unknown"))</f>
        <v>Unknown</v>
      </c>
      <c r="Q27" s="1" t="str">
        <f aca="false">IF(E27="Yes","Yes","No")</f>
        <v>No</v>
      </c>
      <c r="R27" s="1" t="str">
        <f aca="false">IF(H27="Yes","Yes","No")</f>
        <v>No</v>
      </c>
      <c r="S27" s="2" t="s">
        <v>175</v>
      </c>
      <c r="T27" s="2" t="s">
        <v>35</v>
      </c>
      <c r="U27" s="2" t="s">
        <v>36</v>
      </c>
    </row>
    <row r="28" customFormat="false" ht="15" hidden="false" customHeight="true" outlineLevel="0" collapsed="false">
      <c r="A28" s="6" t="s">
        <v>176</v>
      </c>
      <c r="B28" s="6" t="s">
        <v>48</v>
      </c>
      <c r="C28" s="6" t="s">
        <v>177</v>
      </c>
      <c r="D28" s="6" t="s">
        <v>178</v>
      </c>
      <c r="E28" s="6" t="s">
        <v>25</v>
      </c>
      <c r="F28" s="6"/>
      <c r="G28" s="6"/>
      <c r="H28" s="6" t="s">
        <v>25</v>
      </c>
      <c r="I28" s="6" t="s">
        <v>179</v>
      </c>
      <c r="J28" s="6" t="s">
        <v>51</v>
      </c>
      <c r="K28" s="6" t="s">
        <v>52</v>
      </c>
      <c r="L28" s="6" t="s">
        <v>30</v>
      </c>
      <c r="M28" s="6" t="s">
        <v>180</v>
      </c>
      <c r="N28" s="6" t="s">
        <v>181</v>
      </c>
      <c r="O28" s="6" t="s">
        <v>33</v>
      </c>
      <c r="P28" s="1" t="str">
        <f aca="false">IF(H28="Yes",IF(J28="MLS","Pro - MLS",IF(J28="MLS NEXT Pro","Pro - MLS NEXT Pro",IF(J28="USL Championship","Pro - USL Championship",IF(J28="USL League One","Pro - USL League One","Pro - Other")))),IF(H28="No",IF(K28="Amateur / Pre-Professional","Amateur / Pre-Professional","Returned to College"),"Unknown"))</f>
        <v>Returned to College</v>
      </c>
      <c r="Q28" s="1" t="str">
        <f aca="false">IF(E28="Yes","Yes","No")</f>
        <v>No</v>
      </c>
      <c r="R28" s="1" t="str">
        <f aca="false">IF(H28="Yes","Yes","No")</f>
        <v>No</v>
      </c>
      <c r="S28" s="2" t="s">
        <v>182</v>
      </c>
      <c r="T28" s="2" t="s">
        <v>35</v>
      </c>
      <c r="U28" s="2" t="s">
        <v>36</v>
      </c>
    </row>
    <row r="29" customFormat="false" ht="15" hidden="false" customHeight="true" outlineLevel="0" collapsed="false">
      <c r="A29" s="6" t="s">
        <v>183</v>
      </c>
      <c r="B29" s="6" t="s">
        <v>22</v>
      </c>
      <c r="C29" s="6" t="s">
        <v>184</v>
      </c>
      <c r="D29" s="6"/>
      <c r="E29" s="6" t="s">
        <v>25</v>
      </c>
      <c r="F29" s="6"/>
      <c r="G29" s="6"/>
      <c r="H29" s="6" t="s">
        <v>26</v>
      </c>
      <c r="I29" s="6" t="s">
        <v>27</v>
      </c>
      <c r="J29" s="6" t="s">
        <v>28</v>
      </c>
      <c r="K29" s="6" t="s">
        <v>29</v>
      </c>
      <c r="L29" s="6" t="s">
        <v>30</v>
      </c>
      <c r="M29" s="6" t="s">
        <v>185</v>
      </c>
      <c r="N29" s="6" t="s">
        <v>186</v>
      </c>
      <c r="O29" s="6" t="s">
        <v>33</v>
      </c>
      <c r="P29" s="1" t="str">
        <f aca="false">IF(H29="Yes",IF(J29="MLS","Pro - MLS",IF(J29="MLS NEXT Pro","Pro - MLS NEXT Pro",IF(J29="USL Championship","Pro - USL Championship",IF(J29="USL League One","Pro - USL League One","Pro - Other")))),IF(H29="No",IF(K29="Amateur / Pre-Professional","Amateur / Pre-Professional","Returned to College"),"Unknown"))</f>
        <v>Pro - USL League One</v>
      </c>
      <c r="Q29" s="1" t="str">
        <f aca="false">IF(E29="Yes","Yes","No")</f>
        <v>No</v>
      </c>
      <c r="R29" s="1" t="str">
        <f aca="false">IF(H29="Yes","Yes","No")</f>
        <v>Yes</v>
      </c>
      <c r="S29" s="2" t="s">
        <v>187</v>
      </c>
      <c r="T29" s="2" t="s">
        <v>35</v>
      </c>
      <c r="U29" s="2" t="s">
        <v>36</v>
      </c>
    </row>
    <row r="30" customFormat="false" ht="15" hidden="false" customHeight="true" outlineLevel="0" collapsed="false">
      <c r="A30" s="6" t="s">
        <v>188</v>
      </c>
      <c r="B30" s="6" t="s">
        <v>63</v>
      </c>
      <c r="C30" s="6" t="s">
        <v>189</v>
      </c>
      <c r="D30" s="6"/>
      <c r="E30" s="6" t="s">
        <v>25</v>
      </c>
      <c r="F30" s="6"/>
      <c r="G30" s="6"/>
      <c r="H30" s="6"/>
      <c r="I30" s="6"/>
      <c r="J30" s="6"/>
      <c r="K30" s="6" t="s">
        <v>88</v>
      </c>
      <c r="L30" s="6" t="s">
        <v>30</v>
      </c>
      <c r="M30" s="6"/>
      <c r="N30" s="6"/>
      <c r="O30" s="6" t="s">
        <v>71</v>
      </c>
      <c r="P30" s="1" t="str">
        <f aca="false">IF(H30="Yes",IF(J30="MLS","Pro - MLS",IF(J30="MLS NEXT Pro","Pro - MLS NEXT Pro",IF(J30="USL Championship","Pro - USL Championship",IF(J30="USL League One","Pro - USL League One","Pro - Other")))),IF(H30="No",IF(K30="Amateur / Pre-Professional","Amateur / Pre-Professional","Returned to College"),"Unknown"))</f>
        <v>Unknown</v>
      </c>
      <c r="Q30" s="1" t="str">
        <f aca="false">IF(E30="Yes","Yes","No")</f>
        <v>No</v>
      </c>
      <c r="R30" s="1" t="str">
        <f aca="false">IF(H30="Yes","Yes","No")</f>
        <v>No</v>
      </c>
      <c r="S30" s="2" t="s">
        <v>190</v>
      </c>
      <c r="T30" s="2" t="s">
        <v>35</v>
      </c>
      <c r="U30" s="2" t="s">
        <v>36</v>
      </c>
    </row>
    <row r="31" customFormat="false" ht="15" hidden="false" customHeight="true" outlineLevel="0" collapsed="false">
      <c r="A31" s="6" t="s">
        <v>191</v>
      </c>
      <c r="B31" s="6" t="s">
        <v>22</v>
      </c>
      <c r="C31" s="6" t="s">
        <v>192</v>
      </c>
      <c r="D31" s="6"/>
      <c r="E31" s="6" t="s">
        <v>25</v>
      </c>
      <c r="F31" s="6"/>
      <c r="G31" s="6"/>
      <c r="H31" s="6"/>
      <c r="I31" s="6"/>
      <c r="J31" s="6"/>
      <c r="K31" s="6" t="s">
        <v>88</v>
      </c>
      <c r="L31" s="6" t="s">
        <v>53</v>
      </c>
      <c r="M31" s="6"/>
      <c r="N31" s="6"/>
      <c r="O31" s="6" t="s">
        <v>71</v>
      </c>
      <c r="P31" s="1" t="str">
        <f aca="false">IF(H31="Yes",IF(J31="MLS","Pro - MLS",IF(J31="MLS NEXT Pro","Pro - MLS NEXT Pro",IF(J31="USL Championship","Pro - USL Championship",IF(J31="USL League One","Pro - USL League One","Pro - Other")))),IF(H31="No",IF(K31="Amateur / Pre-Professional","Amateur / Pre-Professional","Returned to College"),"Unknown"))</f>
        <v>Unknown</v>
      </c>
      <c r="Q31" s="1" t="str">
        <f aca="false">IF(E31="Yes","Yes","No")</f>
        <v>No</v>
      </c>
      <c r="R31" s="1" t="str">
        <f aca="false">IF(H31="Yes","Yes","No")</f>
        <v>No</v>
      </c>
      <c r="S31" s="2" t="s">
        <v>193</v>
      </c>
      <c r="T31" s="2" t="s">
        <v>35</v>
      </c>
      <c r="U31" s="2" t="s">
        <v>36</v>
      </c>
    </row>
    <row r="32" customFormat="false" ht="15" hidden="false" customHeight="true" outlineLevel="0" collapsed="false">
      <c r="A32" s="6" t="s">
        <v>194</v>
      </c>
      <c r="B32" s="6" t="s">
        <v>22</v>
      </c>
      <c r="C32" s="6" t="s">
        <v>136</v>
      </c>
      <c r="D32" s="6"/>
      <c r="E32" s="6" t="s">
        <v>25</v>
      </c>
      <c r="F32" s="6"/>
      <c r="G32" s="6"/>
      <c r="H32" s="6" t="s">
        <v>25</v>
      </c>
      <c r="I32" s="6" t="s">
        <v>136</v>
      </c>
      <c r="J32" s="6" t="s">
        <v>51</v>
      </c>
      <c r="K32" s="6" t="s">
        <v>52</v>
      </c>
      <c r="L32" s="6" t="s">
        <v>83</v>
      </c>
      <c r="M32" s="6" t="s">
        <v>195</v>
      </c>
      <c r="N32" s="6" t="s">
        <v>196</v>
      </c>
      <c r="O32" s="6" t="s">
        <v>33</v>
      </c>
      <c r="P32" s="1" t="str">
        <f aca="false">IF(H32="Yes",IF(J32="MLS","Pro - MLS",IF(J32="MLS NEXT Pro","Pro - MLS NEXT Pro",IF(J32="USL Championship","Pro - USL Championship",IF(J32="USL League One","Pro - USL League One","Pro - Other")))),IF(H32="No",IF(K32="Amateur / Pre-Professional","Amateur / Pre-Professional","Returned to College"),"Unknown"))</f>
        <v>Returned to College</v>
      </c>
      <c r="Q32" s="1" t="str">
        <f aca="false">IF(E32="Yes","Yes","No")</f>
        <v>No</v>
      </c>
      <c r="R32" s="1" t="str">
        <f aca="false">IF(H32="Yes","Yes","No")</f>
        <v>No</v>
      </c>
      <c r="S32" s="2" t="s">
        <v>197</v>
      </c>
      <c r="T32" s="2" t="s">
        <v>35</v>
      </c>
      <c r="U32" s="2" t="s">
        <v>36</v>
      </c>
    </row>
    <row r="33" customFormat="false" ht="15" hidden="false" customHeight="true" outlineLevel="0" collapsed="false">
      <c r="A33" s="6" t="s">
        <v>198</v>
      </c>
      <c r="B33" s="6" t="s">
        <v>48</v>
      </c>
      <c r="C33" s="6" t="s">
        <v>199</v>
      </c>
      <c r="D33" s="6" t="s">
        <v>130</v>
      </c>
      <c r="E33" s="6" t="s">
        <v>25</v>
      </c>
      <c r="F33" s="6"/>
      <c r="G33" s="6"/>
      <c r="H33" s="6" t="s">
        <v>26</v>
      </c>
      <c r="I33" s="6" t="s">
        <v>200</v>
      </c>
      <c r="J33" s="6" t="s">
        <v>76</v>
      </c>
      <c r="K33" s="6" t="s">
        <v>29</v>
      </c>
      <c r="L33" s="6" t="s">
        <v>30</v>
      </c>
      <c r="M33" s="6" t="s">
        <v>201</v>
      </c>
      <c r="N33" s="6" t="s">
        <v>202</v>
      </c>
      <c r="O33" s="6" t="s">
        <v>33</v>
      </c>
      <c r="P33" s="1" t="str">
        <f aca="false">IF(H33="Yes",IF(J33="MLS","Pro - MLS",IF(J33="MLS NEXT Pro","Pro - MLS NEXT Pro",IF(J33="USL Championship","Pro - USL Championship",IF(J33="USL League One","Pro - USL League One","Pro - Other")))),IF(H33="No",IF(K33="Amateur / Pre-Professional","Amateur / Pre-Professional","Returned to College"),"Unknown"))</f>
        <v>Pro - MLS NEXT Pro</v>
      </c>
      <c r="Q33" s="1" t="str">
        <f aca="false">IF(E33="Yes","Yes","No")</f>
        <v>No</v>
      </c>
      <c r="R33" s="1" t="str">
        <f aca="false">IF(H33="Yes","Yes","No")</f>
        <v>Yes</v>
      </c>
      <c r="S33" s="2" t="s">
        <v>203</v>
      </c>
      <c r="T33" s="2" t="s">
        <v>35</v>
      </c>
      <c r="U33" s="2" t="s">
        <v>36</v>
      </c>
    </row>
    <row r="34" customFormat="false" ht="15" hidden="false" customHeight="true" outlineLevel="0" collapsed="false">
      <c r="A34" s="6" t="s">
        <v>204</v>
      </c>
      <c r="B34" s="6" t="s">
        <v>22</v>
      </c>
      <c r="C34" s="6" t="s">
        <v>189</v>
      </c>
      <c r="D34" s="6" t="s">
        <v>205</v>
      </c>
      <c r="E34" s="6" t="s">
        <v>25</v>
      </c>
      <c r="F34" s="6"/>
      <c r="G34" s="6"/>
      <c r="H34" s="6" t="s">
        <v>26</v>
      </c>
      <c r="I34" s="6" t="s">
        <v>206</v>
      </c>
      <c r="J34" s="6" t="s">
        <v>28</v>
      </c>
      <c r="K34" s="6" t="s">
        <v>29</v>
      </c>
      <c r="L34" s="6" t="s">
        <v>30</v>
      </c>
      <c r="M34" s="6" t="s">
        <v>207</v>
      </c>
      <c r="N34" s="6" t="s">
        <v>208</v>
      </c>
      <c r="O34" s="6" t="s">
        <v>33</v>
      </c>
      <c r="P34" s="1" t="str">
        <f aca="false">IF(H34="Yes",IF(J34="MLS","Pro - MLS",IF(J34="MLS NEXT Pro","Pro - MLS NEXT Pro",IF(J34="USL Championship","Pro - USL Championship",IF(J34="USL League One","Pro - USL League One","Pro - Other")))),IF(H34="No",IF(K34="Amateur / Pre-Professional","Amateur / Pre-Professional","Returned to College"),"Unknown"))</f>
        <v>Pro - USL League One</v>
      </c>
      <c r="Q34" s="1" t="str">
        <f aca="false">IF(E34="Yes","Yes","No")</f>
        <v>No</v>
      </c>
      <c r="R34" s="1" t="str">
        <f aca="false">IF(H34="Yes","Yes","No")</f>
        <v>Yes</v>
      </c>
      <c r="S34" s="2" t="s">
        <v>190</v>
      </c>
      <c r="T34" s="2" t="s">
        <v>35</v>
      </c>
      <c r="U34" s="2" t="s">
        <v>36</v>
      </c>
    </row>
    <row r="35" customFormat="false" ht="27.75" hidden="false" customHeight="true" outlineLevel="0" collapsed="false">
      <c r="A35" s="6" t="s">
        <v>209</v>
      </c>
      <c r="B35" s="6" t="s">
        <v>22</v>
      </c>
      <c r="C35" s="6" t="s">
        <v>177</v>
      </c>
      <c r="D35" s="6"/>
      <c r="E35" s="6" t="s">
        <v>26</v>
      </c>
      <c r="F35" s="6" t="n">
        <v>10</v>
      </c>
      <c r="G35" s="6" t="s">
        <v>210</v>
      </c>
      <c r="H35" s="6" t="s">
        <v>25</v>
      </c>
      <c r="I35" s="6" t="s">
        <v>177</v>
      </c>
      <c r="J35" s="6" t="s">
        <v>51</v>
      </c>
      <c r="K35" s="6" t="s">
        <v>52</v>
      </c>
      <c r="L35" s="6" t="s">
        <v>53</v>
      </c>
      <c r="M35" s="6" t="s">
        <v>211</v>
      </c>
      <c r="N35" s="6" t="s">
        <v>212</v>
      </c>
      <c r="O35" s="6" t="s">
        <v>33</v>
      </c>
      <c r="P35" s="1" t="str">
        <f aca="false">IF(H35="Yes",IF(J35="MLS","Pro - MLS",IF(J35="MLS NEXT Pro","Pro - MLS NEXT Pro",IF(J35="USL Championship","Pro - USL Championship",IF(J35="USL League One","Pro - USL League One","Pro - Other")))),IF(H35="No",IF(K35="Amateur / Pre-Professional","Amateur / Pre-Professional","Returned to College"),"Unknown"))</f>
        <v>Returned to College</v>
      </c>
      <c r="Q35" s="1" t="str">
        <f aca="false">IF(E35="Yes","Yes","No")</f>
        <v>Yes</v>
      </c>
      <c r="R35" s="1" t="str">
        <f aca="false">IF(H35="Yes","Yes","No")</f>
        <v>No</v>
      </c>
      <c r="U35" s="2" t="s">
        <v>56</v>
      </c>
    </row>
    <row r="36" customFormat="false" ht="27.75" hidden="false" customHeight="true" outlineLevel="0" collapsed="false">
      <c r="A36" s="6" t="s">
        <v>213</v>
      </c>
      <c r="B36" s="6" t="s">
        <v>48</v>
      </c>
      <c r="C36" s="6" t="s">
        <v>214</v>
      </c>
      <c r="D36" s="6"/>
      <c r="E36" s="6" t="s">
        <v>26</v>
      </c>
      <c r="F36" s="6" t="n">
        <v>35</v>
      </c>
      <c r="G36" s="6" t="s">
        <v>130</v>
      </c>
      <c r="H36" s="6" t="s">
        <v>25</v>
      </c>
      <c r="I36" s="6" t="s">
        <v>214</v>
      </c>
      <c r="J36" s="6" t="s">
        <v>51</v>
      </c>
      <c r="K36" s="6" t="s">
        <v>52</v>
      </c>
      <c r="L36" s="6" t="s">
        <v>83</v>
      </c>
      <c r="M36" s="6" t="s">
        <v>215</v>
      </c>
      <c r="N36" s="6" t="s">
        <v>216</v>
      </c>
      <c r="O36" s="6" t="s">
        <v>33</v>
      </c>
      <c r="P36" s="1" t="str">
        <f aca="false">IF(H36="Yes",IF(J36="MLS","Pro - MLS",IF(J36="MLS NEXT Pro","Pro - MLS NEXT Pro",IF(J36="USL Championship","Pro - USL Championship",IF(J36="USL League One","Pro - USL League One","Pro - Other")))),IF(H36="No",IF(K36="Amateur / Pre-Professional","Amateur / Pre-Professional","Returned to College"),"Unknown"))</f>
        <v>Returned to College</v>
      </c>
      <c r="Q36" s="1" t="str">
        <f aca="false">IF(E36="Yes","Yes","No")</f>
        <v>Yes</v>
      </c>
      <c r="R36" s="1" t="str">
        <f aca="false">IF(H36="Yes","Yes","No")</f>
        <v>No</v>
      </c>
      <c r="U36" s="2" t="s">
        <v>56</v>
      </c>
    </row>
    <row r="37" customFormat="false" ht="27.75" hidden="false" customHeight="true" outlineLevel="0" collapsed="false">
      <c r="A37" s="6" t="s">
        <v>217</v>
      </c>
      <c r="B37" s="6" t="s">
        <v>22</v>
      </c>
      <c r="C37" s="6" t="s">
        <v>218</v>
      </c>
      <c r="D37" s="6"/>
      <c r="E37" s="6" t="s">
        <v>25</v>
      </c>
      <c r="F37" s="6"/>
      <c r="G37" s="6"/>
      <c r="H37" s="6" t="s">
        <v>26</v>
      </c>
      <c r="I37" s="6" t="s">
        <v>219</v>
      </c>
      <c r="J37" s="6" t="s">
        <v>76</v>
      </c>
      <c r="K37" s="6" t="s">
        <v>29</v>
      </c>
      <c r="L37" s="6" t="s">
        <v>30</v>
      </c>
      <c r="M37" s="6" t="s">
        <v>220</v>
      </c>
      <c r="N37" s="6" t="s">
        <v>221</v>
      </c>
      <c r="O37" s="6" t="s">
        <v>33</v>
      </c>
      <c r="P37" s="1" t="str">
        <f aca="false">IF(H37="Yes",IF(J37="MLS","Pro - MLS",IF(J37="MLS NEXT Pro","Pro - MLS NEXT Pro",IF(J37="USL Championship","Pro - USL Championship",IF(J37="USL League One","Pro - USL League One","Pro - Other")))),IF(H37="No",IF(K37="Amateur / Pre-Professional","Amateur / Pre-Professional","Returned to College"),"Unknown"))</f>
        <v>Pro - MLS NEXT Pro</v>
      </c>
      <c r="Q37" s="1" t="str">
        <f aca="false">IF(E37="Yes","Yes","No")</f>
        <v>No</v>
      </c>
      <c r="R37" s="1" t="str">
        <f aca="false">IF(H37="Yes","Yes","No")</f>
        <v>Yes</v>
      </c>
      <c r="S37" s="2" t="s">
        <v>222</v>
      </c>
      <c r="T37" s="2" t="s">
        <v>35</v>
      </c>
      <c r="U37" s="2" t="s">
        <v>36</v>
      </c>
    </row>
    <row r="38" customFormat="false" ht="27.75" hidden="false" customHeight="true" outlineLevel="0" collapsed="false">
      <c r="A38" s="6" t="s">
        <v>223</v>
      </c>
      <c r="B38" s="6" t="s">
        <v>48</v>
      </c>
      <c r="C38" s="6" t="s">
        <v>81</v>
      </c>
      <c r="D38" s="6"/>
      <c r="E38" s="6" t="s">
        <v>26</v>
      </c>
      <c r="F38" s="6" t="n">
        <v>60</v>
      </c>
      <c r="G38" s="6" t="s">
        <v>224</v>
      </c>
      <c r="H38" s="6" t="s">
        <v>25</v>
      </c>
      <c r="I38" s="6" t="s">
        <v>81</v>
      </c>
      <c r="J38" s="6" t="s">
        <v>51</v>
      </c>
      <c r="K38" s="6" t="s">
        <v>52</v>
      </c>
      <c r="L38" s="6" t="s">
        <v>83</v>
      </c>
      <c r="M38" s="6" t="s">
        <v>225</v>
      </c>
      <c r="N38" s="6" t="s">
        <v>226</v>
      </c>
      <c r="O38" s="6" t="s">
        <v>33</v>
      </c>
      <c r="P38" s="1" t="str">
        <f aca="false">IF(H38="Yes",IF(J38="MLS","Pro - MLS",IF(J38="MLS NEXT Pro","Pro - MLS NEXT Pro",IF(J38="USL Championship","Pro - USL Championship",IF(J38="USL League One","Pro - USL League One","Pro - Other")))),IF(H38="No",IF(K38="Amateur / Pre-Professional","Amateur / Pre-Professional","Returned to College"),"Unknown"))</f>
        <v>Returned to College</v>
      </c>
      <c r="Q38" s="1" t="str">
        <f aca="false">IF(E38="Yes","Yes","No")</f>
        <v>Yes</v>
      </c>
      <c r="R38" s="1" t="str">
        <f aca="false">IF(H38="Yes","Yes","No")</f>
        <v>No</v>
      </c>
      <c r="U38" s="2" t="s">
        <v>56</v>
      </c>
    </row>
    <row r="39" customFormat="false" ht="15" hidden="false" customHeight="true" outlineLevel="0" collapsed="false">
      <c r="A39" s="6" t="s">
        <v>227</v>
      </c>
      <c r="B39" s="6" t="s">
        <v>63</v>
      </c>
      <c r="C39" s="6" t="s">
        <v>39</v>
      </c>
      <c r="D39" s="6" t="s">
        <v>66</v>
      </c>
      <c r="E39" s="6" t="s">
        <v>25</v>
      </c>
      <c r="F39" s="6"/>
      <c r="G39" s="6"/>
      <c r="H39" s="6"/>
      <c r="I39" s="6"/>
      <c r="J39" s="6"/>
      <c r="K39" s="6" t="s">
        <v>88</v>
      </c>
      <c r="L39" s="6" t="s">
        <v>30</v>
      </c>
      <c r="M39" s="6"/>
      <c r="N39" s="6"/>
      <c r="O39" s="6" t="s">
        <v>71</v>
      </c>
      <c r="P39" s="1" t="str">
        <f aca="false">IF(H39="Yes",IF(J39="MLS","Pro - MLS",IF(J39="MLS NEXT Pro","Pro - MLS NEXT Pro",IF(J39="USL Championship","Pro - USL Championship",IF(J39="USL League One","Pro - USL League One","Pro - Other")))),IF(H39="No",IF(K39="Amateur / Pre-Professional","Amateur / Pre-Professional","Returned to College"),"Unknown"))</f>
        <v>Unknown</v>
      </c>
      <c r="Q39" s="1" t="str">
        <f aca="false">IF(E39="Yes","Yes","No")</f>
        <v>No</v>
      </c>
      <c r="R39" s="1" t="str">
        <f aca="false">IF(H39="Yes","Yes","No")</f>
        <v>No</v>
      </c>
      <c r="S39" s="2" t="s">
        <v>46</v>
      </c>
      <c r="T39" s="2" t="s">
        <v>35</v>
      </c>
      <c r="U39" s="2" t="s">
        <v>36</v>
      </c>
    </row>
    <row r="40" customFormat="false" ht="15" hidden="false" customHeight="true" outlineLevel="0" collapsed="false">
      <c r="A40" s="6" t="s">
        <v>228</v>
      </c>
      <c r="B40" s="6" t="s">
        <v>48</v>
      </c>
      <c r="C40" s="6" t="s">
        <v>229</v>
      </c>
      <c r="D40" s="6" t="s">
        <v>230</v>
      </c>
      <c r="E40" s="6" t="s">
        <v>25</v>
      </c>
      <c r="F40" s="6"/>
      <c r="G40" s="6"/>
      <c r="H40" s="6"/>
      <c r="I40" s="6"/>
      <c r="J40" s="6"/>
      <c r="K40" s="6" t="s">
        <v>88</v>
      </c>
      <c r="L40" s="6" t="s">
        <v>92</v>
      </c>
      <c r="M40" s="6"/>
      <c r="N40" s="6"/>
      <c r="O40" s="6" t="s">
        <v>71</v>
      </c>
      <c r="P40" s="1" t="str">
        <f aca="false">IF(H40="Yes",IF(J40="MLS","Pro - MLS",IF(J40="MLS NEXT Pro","Pro - MLS NEXT Pro",IF(J40="USL Championship","Pro - USL Championship",IF(J40="USL League One","Pro - USL League One","Pro - Other")))),IF(H40="No",IF(K40="Amateur / Pre-Professional","Amateur / Pre-Professional","Returned to College"),"Unknown"))</f>
        <v>Unknown</v>
      </c>
      <c r="Q40" s="1" t="str">
        <f aca="false">IF(E40="Yes","Yes","No")</f>
        <v>No</v>
      </c>
      <c r="R40" s="1" t="str">
        <f aca="false">IF(H40="Yes","Yes","No")</f>
        <v>No</v>
      </c>
      <c r="S40" s="2" t="s">
        <v>231</v>
      </c>
      <c r="T40" s="2" t="s">
        <v>35</v>
      </c>
      <c r="U40" s="2" t="s">
        <v>232</v>
      </c>
    </row>
    <row r="41" customFormat="false" ht="15" hidden="false" customHeight="true" outlineLevel="0" collapsed="false">
      <c r="A41" s="6" t="s">
        <v>233</v>
      </c>
      <c r="B41" s="6" t="s">
        <v>63</v>
      </c>
      <c r="C41" s="6" t="s">
        <v>234</v>
      </c>
      <c r="D41" s="6"/>
      <c r="E41" s="6" t="s">
        <v>25</v>
      </c>
      <c r="F41" s="6"/>
      <c r="G41" s="6"/>
      <c r="H41" s="6" t="s">
        <v>25</v>
      </c>
      <c r="I41" s="6" t="s">
        <v>234</v>
      </c>
      <c r="J41" s="6" t="s">
        <v>51</v>
      </c>
      <c r="K41" s="6" t="s">
        <v>52</v>
      </c>
      <c r="L41" s="6" t="s">
        <v>30</v>
      </c>
      <c r="M41" s="6" t="s">
        <v>235</v>
      </c>
      <c r="N41" s="6" t="s">
        <v>236</v>
      </c>
      <c r="O41" s="6" t="s">
        <v>33</v>
      </c>
      <c r="P41" s="1" t="str">
        <f aca="false">IF(H41="Yes",IF(J41="MLS","Pro - MLS",IF(J41="MLS NEXT Pro","Pro - MLS NEXT Pro",IF(J41="USL Championship","Pro - USL Championship",IF(J41="USL League One","Pro - USL League One","Pro - Other")))),IF(H41="No",IF(K41="Amateur / Pre-Professional","Amateur / Pre-Professional","Returned to College"),"Unknown"))</f>
        <v>Returned to College</v>
      </c>
      <c r="Q41" s="1" t="str">
        <f aca="false">IF(E41="Yes","Yes","No")</f>
        <v>No</v>
      </c>
      <c r="R41" s="1" t="str">
        <f aca="false">IF(H41="Yes","Yes","No")</f>
        <v>No</v>
      </c>
      <c r="S41" s="2" t="s">
        <v>237</v>
      </c>
      <c r="T41" s="2" t="s">
        <v>35</v>
      </c>
      <c r="U41" s="2" t="s">
        <v>238</v>
      </c>
    </row>
    <row r="42" customFormat="false" ht="15" hidden="false" customHeight="true" outlineLevel="0" collapsed="false">
      <c r="A42" s="6" t="s">
        <v>239</v>
      </c>
      <c r="B42" s="6" t="s">
        <v>48</v>
      </c>
      <c r="C42" s="6" t="s">
        <v>240</v>
      </c>
      <c r="D42" s="6" t="s">
        <v>112</v>
      </c>
      <c r="E42" s="6" t="s">
        <v>25</v>
      </c>
      <c r="F42" s="6"/>
      <c r="G42" s="6"/>
      <c r="H42" s="6" t="s">
        <v>25</v>
      </c>
      <c r="I42" s="6" t="s">
        <v>241</v>
      </c>
      <c r="J42" s="6" t="s">
        <v>51</v>
      </c>
      <c r="K42" s="6" t="s">
        <v>52</v>
      </c>
      <c r="L42" s="6" t="s">
        <v>92</v>
      </c>
      <c r="M42" s="6" t="s">
        <v>242</v>
      </c>
      <c r="N42" s="6" t="s">
        <v>243</v>
      </c>
      <c r="O42" s="6" t="s">
        <v>33</v>
      </c>
      <c r="P42" s="1" t="str">
        <f aca="false">IF(H42="Yes",IF(J42="MLS","Pro - MLS",IF(J42="MLS NEXT Pro","Pro - MLS NEXT Pro",IF(J42="USL Championship","Pro - USL Championship",IF(J42="USL League One","Pro - USL League One","Pro - Other")))),IF(H42="No",IF(K42="Amateur / Pre-Professional","Amateur / Pre-Professional","Returned to College"),"Unknown"))</f>
        <v>Returned to College</v>
      </c>
      <c r="Q42" s="1" t="str">
        <f aca="false">IF(E42="Yes","Yes","No")</f>
        <v>No</v>
      </c>
      <c r="R42" s="1" t="str">
        <f aca="false">IF(H42="Yes","Yes","No")</f>
        <v>No</v>
      </c>
      <c r="S42" s="2" t="s">
        <v>244</v>
      </c>
      <c r="T42" s="2" t="s">
        <v>35</v>
      </c>
      <c r="U42" s="2" t="s">
        <v>36</v>
      </c>
    </row>
    <row r="43" customFormat="false" ht="27.75" hidden="false" customHeight="true" outlineLevel="0" collapsed="false">
      <c r="A43" s="6" t="s">
        <v>245</v>
      </c>
      <c r="B43" s="6" t="s">
        <v>22</v>
      </c>
      <c r="C43" s="6" t="s">
        <v>246</v>
      </c>
      <c r="D43" s="6"/>
      <c r="E43" s="6" t="s">
        <v>26</v>
      </c>
      <c r="F43" s="6" t="n">
        <v>73</v>
      </c>
      <c r="G43" s="6" t="s">
        <v>137</v>
      </c>
      <c r="H43" s="6" t="s">
        <v>25</v>
      </c>
      <c r="I43" s="6" t="s">
        <v>246</v>
      </c>
      <c r="J43" s="6" t="s">
        <v>51</v>
      </c>
      <c r="K43" s="6" t="s">
        <v>52</v>
      </c>
      <c r="L43" s="6" t="s">
        <v>53</v>
      </c>
      <c r="M43" s="6" t="s">
        <v>247</v>
      </c>
      <c r="N43" s="6" t="s">
        <v>248</v>
      </c>
      <c r="O43" s="6" t="s">
        <v>33</v>
      </c>
      <c r="P43" s="1" t="str">
        <f aca="false">IF(H43="Yes",IF(J43="MLS","Pro - MLS",IF(J43="MLS NEXT Pro","Pro - MLS NEXT Pro",IF(J43="USL Championship","Pro - USL Championship",IF(J43="USL League One","Pro - USL League One","Pro - Other")))),IF(H43="No",IF(K43="Amateur / Pre-Professional","Amateur / Pre-Professional","Returned to College"),"Unknown"))</f>
        <v>Returned to College</v>
      </c>
      <c r="Q43" s="1" t="str">
        <f aca="false">IF(E43="Yes","Yes","No")</f>
        <v>Yes</v>
      </c>
      <c r="R43" s="1" t="str">
        <f aca="false">IF(H43="Yes","Yes","No")</f>
        <v>No</v>
      </c>
      <c r="U43" s="2" t="s">
        <v>56</v>
      </c>
    </row>
    <row r="44" customFormat="false" ht="15" hidden="false" customHeight="true" outlineLevel="0" collapsed="false">
      <c r="A44" s="6" t="s">
        <v>249</v>
      </c>
      <c r="B44" s="6" t="s">
        <v>22</v>
      </c>
      <c r="C44" s="6" t="s">
        <v>250</v>
      </c>
      <c r="D44" s="6" t="s">
        <v>251</v>
      </c>
      <c r="E44" s="6" t="s">
        <v>25</v>
      </c>
      <c r="F44" s="6"/>
      <c r="G44" s="6"/>
      <c r="H44" s="6" t="s">
        <v>26</v>
      </c>
      <c r="I44" s="6" t="s">
        <v>252</v>
      </c>
      <c r="J44" s="6" t="s">
        <v>76</v>
      </c>
      <c r="K44" s="6" t="s">
        <v>29</v>
      </c>
      <c r="L44" s="6" t="s">
        <v>30</v>
      </c>
      <c r="M44" s="6" t="s">
        <v>253</v>
      </c>
      <c r="N44" s="6" t="s">
        <v>254</v>
      </c>
      <c r="O44" s="6" t="s">
        <v>33</v>
      </c>
      <c r="P44" s="1" t="str">
        <f aca="false">IF(H44="Yes",IF(J44="MLS","Pro - MLS",IF(J44="MLS NEXT Pro","Pro - MLS NEXT Pro",IF(J44="USL Championship","Pro - USL Championship",IF(J44="USL League One","Pro - USL League One","Pro - Other")))),IF(H44="No",IF(K44="Amateur / Pre-Professional","Amateur / Pre-Professional","Returned to College"),"Unknown"))</f>
        <v>Pro - MLS NEXT Pro</v>
      </c>
      <c r="Q44" s="1" t="str">
        <f aca="false">IF(E44="Yes","Yes","No")</f>
        <v>No</v>
      </c>
      <c r="R44" s="1" t="str">
        <f aca="false">IF(H44="Yes","Yes","No")</f>
        <v>Yes</v>
      </c>
      <c r="S44" s="2" t="s">
        <v>255</v>
      </c>
      <c r="T44" s="2" t="s">
        <v>35</v>
      </c>
      <c r="U44" s="2" t="s">
        <v>36</v>
      </c>
    </row>
    <row r="45" customFormat="false" ht="15" hidden="false" customHeight="true" outlineLevel="0" collapsed="false">
      <c r="A45" s="6" t="s">
        <v>256</v>
      </c>
      <c r="B45" s="6" t="s">
        <v>48</v>
      </c>
      <c r="C45" s="6" t="s">
        <v>111</v>
      </c>
      <c r="D45" s="6" t="s">
        <v>112</v>
      </c>
      <c r="E45" s="6" t="s">
        <v>25</v>
      </c>
      <c r="F45" s="6"/>
      <c r="G45" s="6"/>
      <c r="H45" s="6" t="s">
        <v>26</v>
      </c>
      <c r="I45" s="6" t="s">
        <v>257</v>
      </c>
      <c r="J45" s="6" t="s">
        <v>76</v>
      </c>
      <c r="K45" s="6" t="s">
        <v>29</v>
      </c>
      <c r="L45" s="6" t="s">
        <v>30</v>
      </c>
      <c r="M45" s="6" t="s">
        <v>258</v>
      </c>
      <c r="N45" s="6" t="s">
        <v>259</v>
      </c>
      <c r="O45" s="6" t="s">
        <v>33</v>
      </c>
      <c r="P45" s="1" t="str">
        <f aca="false">IF(H45="Yes",IF(J45="MLS","Pro - MLS",IF(J45="MLS NEXT Pro","Pro - MLS NEXT Pro",IF(J45="USL Championship","Pro - USL Championship",IF(J45="USL League One","Pro - USL League One","Pro - Other")))),IF(H45="No",IF(K45="Amateur / Pre-Professional","Amateur / Pre-Professional","Returned to College"),"Unknown"))</f>
        <v>Pro - MLS NEXT Pro</v>
      </c>
      <c r="Q45" s="1" t="str">
        <f aca="false">IF(E45="Yes","Yes","No")</f>
        <v>No</v>
      </c>
      <c r="R45" s="1" t="str">
        <f aca="false">IF(H45="Yes","Yes","No")</f>
        <v>Yes</v>
      </c>
      <c r="S45" s="2" t="s">
        <v>113</v>
      </c>
      <c r="T45" s="2" t="s">
        <v>35</v>
      </c>
      <c r="U45" s="2" t="s">
        <v>36</v>
      </c>
    </row>
    <row r="46" customFormat="false" ht="15" hidden="false" customHeight="true" outlineLevel="0" collapsed="false">
      <c r="A46" s="6" t="s">
        <v>260</v>
      </c>
      <c r="B46" s="6" t="s">
        <v>63</v>
      </c>
      <c r="C46" s="6" t="s">
        <v>261</v>
      </c>
      <c r="D46" s="6" t="s">
        <v>205</v>
      </c>
      <c r="E46" s="6" t="s">
        <v>25</v>
      </c>
      <c r="F46" s="6"/>
      <c r="G46" s="6"/>
      <c r="H46" s="6" t="s">
        <v>25</v>
      </c>
      <c r="I46" s="6" t="s">
        <v>261</v>
      </c>
      <c r="J46" s="6" t="s">
        <v>51</v>
      </c>
      <c r="K46" s="6" t="s">
        <v>52</v>
      </c>
      <c r="L46" s="6" t="s">
        <v>83</v>
      </c>
      <c r="M46" s="6" t="s">
        <v>262</v>
      </c>
      <c r="N46" s="6" t="s">
        <v>263</v>
      </c>
      <c r="O46" s="6" t="s">
        <v>33</v>
      </c>
      <c r="P46" s="1" t="str">
        <f aca="false">IF(H46="Yes",IF(J46="MLS","Pro - MLS",IF(J46="MLS NEXT Pro","Pro - MLS NEXT Pro",IF(J46="USL Championship","Pro - USL Championship",IF(J46="USL League One","Pro - USL League One","Pro - Other")))),IF(H46="No",IF(K46="Amateur / Pre-Professional","Amateur / Pre-Professional","Returned to College"),"Unknown"))</f>
        <v>Returned to College</v>
      </c>
      <c r="Q46" s="1" t="str">
        <f aca="false">IF(E46="Yes","Yes","No")</f>
        <v>No</v>
      </c>
      <c r="R46" s="1" t="str">
        <f aca="false">IF(H46="Yes","Yes","No")</f>
        <v>No</v>
      </c>
      <c r="S46" s="2" t="s">
        <v>264</v>
      </c>
      <c r="T46" s="2" t="s">
        <v>35</v>
      </c>
      <c r="U46" s="2" t="s">
        <v>36</v>
      </c>
    </row>
    <row r="47" customFormat="false" ht="15" hidden="false" customHeight="true" outlineLevel="0" collapsed="false">
      <c r="A47" s="6" t="s">
        <v>265</v>
      </c>
      <c r="B47" s="6" t="s">
        <v>63</v>
      </c>
      <c r="C47" s="6" t="s">
        <v>266</v>
      </c>
      <c r="D47" s="6"/>
      <c r="E47" s="6" t="s">
        <v>25</v>
      </c>
      <c r="F47" s="6"/>
      <c r="G47" s="6"/>
      <c r="H47" s="6"/>
      <c r="I47" s="6"/>
      <c r="J47" s="6"/>
      <c r="K47" s="6" t="s">
        <v>88</v>
      </c>
      <c r="L47" s="6" t="s">
        <v>267</v>
      </c>
      <c r="M47" s="6"/>
      <c r="N47" s="6"/>
      <c r="O47" s="6" t="s">
        <v>71</v>
      </c>
      <c r="P47" s="1" t="str">
        <f aca="false">IF(H47="Yes",IF(J47="MLS","Pro - MLS",IF(J47="MLS NEXT Pro","Pro - MLS NEXT Pro",IF(J47="USL Championship","Pro - USL Championship",IF(J47="USL League One","Pro - USL League One","Pro - Other")))),IF(H47="No",IF(K47="Amateur / Pre-Professional","Amateur / Pre-Professional","Returned to College"),"Unknown"))</f>
        <v>Unknown</v>
      </c>
      <c r="Q47" s="1" t="str">
        <f aca="false">IF(E47="Yes","Yes","No")</f>
        <v>No</v>
      </c>
      <c r="R47" s="1" t="str">
        <f aca="false">IF(H47="Yes","Yes","No")</f>
        <v>No</v>
      </c>
      <c r="S47" s="2" t="s">
        <v>268</v>
      </c>
      <c r="T47" s="2" t="s">
        <v>35</v>
      </c>
      <c r="U47" s="2" t="s">
        <v>36</v>
      </c>
    </row>
    <row r="48" customFormat="false" ht="27.75" hidden="false" customHeight="true" outlineLevel="0" collapsed="false">
      <c r="A48" s="6" t="s">
        <v>269</v>
      </c>
      <c r="B48" s="6" t="s">
        <v>22</v>
      </c>
      <c r="C48" s="6" t="s">
        <v>270</v>
      </c>
      <c r="D48" s="6" t="s">
        <v>271</v>
      </c>
      <c r="E48" s="6" t="s">
        <v>25</v>
      </c>
      <c r="F48" s="6"/>
      <c r="G48" s="6"/>
      <c r="H48" s="6" t="s">
        <v>25</v>
      </c>
      <c r="I48" s="6" t="s">
        <v>272</v>
      </c>
      <c r="J48" s="6" t="s">
        <v>41</v>
      </c>
      <c r="K48" s="6" t="s">
        <v>42</v>
      </c>
      <c r="L48" s="6" t="s">
        <v>83</v>
      </c>
      <c r="M48" s="6" t="s">
        <v>273</v>
      </c>
      <c r="N48" s="6" t="s">
        <v>274</v>
      </c>
      <c r="O48" s="6" t="s">
        <v>33</v>
      </c>
      <c r="P48" s="1" t="str">
        <f aca="false">IF(H48="Yes",IF(J48="MLS","Pro - MLS",IF(J48="MLS NEXT Pro","Pro - MLS NEXT Pro",IF(J48="USL Championship","Pro - USL Championship",IF(J48="USL League One","Pro - USL League One","Pro - Other")))),IF(H48="No",IF(K48="Amateur / Pre-Professional","Amateur / Pre-Professional","Returned to College"),"Unknown"))</f>
        <v>Amateur / Pre-Professional</v>
      </c>
      <c r="Q48" s="1" t="str">
        <f aca="false">IF(E48="Yes","Yes","No")</f>
        <v>No</v>
      </c>
      <c r="R48" s="1" t="str">
        <f aca="false">IF(H48="Yes","Yes","No")</f>
        <v>No</v>
      </c>
      <c r="S48" s="2" t="s">
        <v>275</v>
      </c>
      <c r="T48" s="2" t="s">
        <v>35</v>
      </c>
      <c r="U48" s="2" t="s">
        <v>36</v>
      </c>
    </row>
    <row r="49" customFormat="false" ht="27.75" hidden="false" customHeight="true" outlineLevel="0" collapsed="false">
      <c r="A49" s="6" t="s">
        <v>276</v>
      </c>
      <c r="B49" s="6" t="s">
        <v>48</v>
      </c>
      <c r="C49" s="6" t="s">
        <v>277</v>
      </c>
      <c r="D49" s="6"/>
      <c r="E49" s="6" t="s">
        <v>26</v>
      </c>
      <c r="F49" s="6" t="n">
        <v>67</v>
      </c>
      <c r="G49" s="6" t="s">
        <v>278</v>
      </c>
      <c r="H49" s="6" t="s">
        <v>131</v>
      </c>
      <c r="I49" s="6"/>
      <c r="J49" s="6"/>
      <c r="K49" s="6" t="s">
        <v>132</v>
      </c>
      <c r="L49" s="6" t="s">
        <v>68</v>
      </c>
      <c r="M49" s="6" t="s">
        <v>133</v>
      </c>
      <c r="N49" s="6" t="s">
        <v>134</v>
      </c>
      <c r="O49" s="6" t="s">
        <v>71</v>
      </c>
      <c r="P49" s="1" t="str">
        <f aca="false">IF(H49="Yes",IF(J49="MLS","Pro - MLS",IF(J49="MLS NEXT Pro","Pro - MLS NEXT Pro",IF(J49="USL Championship","Pro - USL Championship",IF(J49="USL League One","Pro - USL League One","Pro - Other")))),IF(H49="No",IF(K49="Amateur / Pre-Professional","Amateur / Pre-Professional","Returned to College"),"Unknown"))</f>
        <v>Unknown</v>
      </c>
      <c r="Q49" s="1" t="str">
        <f aca="false">IF(E49="Yes","Yes","No")</f>
        <v>Yes</v>
      </c>
      <c r="R49" s="1" t="str">
        <f aca="false">IF(H49="Yes","Yes","No")</f>
        <v>No</v>
      </c>
      <c r="U49" s="2" t="s">
        <v>56</v>
      </c>
    </row>
    <row r="50" customFormat="false" ht="27.75" hidden="false" customHeight="true" outlineLevel="0" collapsed="false">
      <c r="A50" s="6" t="s">
        <v>279</v>
      </c>
      <c r="B50" s="6" t="s">
        <v>48</v>
      </c>
      <c r="C50" s="6" t="s">
        <v>280</v>
      </c>
      <c r="D50" s="6" t="s">
        <v>281</v>
      </c>
      <c r="E50" s="6" t="s">
        <v>25</v>
      </c>
      <c r="F50" s="6"/>
      <c r="G50" s="6"/>
      <c r="H50" s="6" t="s">
        <v>25</v>
      </c>
      <c r="I50" s="6" t="s">
        <v>282</v>
      </c>
      <c r="J50" s="6" t="s">
        <v>51</v>
      </c>
      <c r="K50" s="6" t="s">
        <v>52</v>
      </c>
      <c r="L50" s="6" t="s">
        <v>30</v>
      </c>
      <c r="M50" s="6" t="s">
        <v>283</v>
      </c>
      <c r="N50" s="6" t="s">
        <v>284</v>
      </c>
      <c r="O50" s="6" t="s">
        <v>33</v>
      </c>
      <c r="P50" s="1" t="str">
        <f aca="false">IF(H50="Yes",IF(J50="MLS","Pro - MLS",IF(J50="MLS NEXT Pro","Pro - MLS NEXT Pro",IF(J50="USL Championship","Pro - USL Championship",IF(J50="USL League One","Pro - USL League One","Pro - Other")))),IF(H50="No",IF(K50="Amateur / Pre-Professional","Amateur / Pre-Professional","Returned to College"),"Unknown"))</f>
        <v>Returned to College</v>
      </c>
      <c r="Q50" s="1" t="str">
        <f aca="false">IF(E50="Yes","Yes","No")</f>
        <v>No</v>
      </c>
      <c r="R50" s="1" t="str">
        <f aca="false">IF(H50="Yes","Yes","No")</f>
        <v>No</v>
      </c>
      <c r="S50" s="2" t="s">
        <v>285</v>
      </c>
      <c r="T50" s="2" t="s">
        <v>35</v>
      </c>
      <c r="U50" s="2" t="s">
        <v>36</v>
      </c>
    </row>
    <row r="51" customFormat="false" ht="15" hidden="false" customHeight="true" outlineLevel="0" collapsed="false">
      <c r="A51" s="6" t="s">
        <v>286</v>
      </c>
      <c r="B51" s="6" t="s">
        <v>22</v>
      </c>
      <c r="C51" s="6" t="s">
        <v>115</v>
      </c>
      <c r="D51" s="6"/>
      <c r="E51" s="6" t="s">
        <v>25</v>
      </c>
      <c r="F51" s="6"/>
      <c r="G51" s="6"/>
      <c r="H51" s="6"/>
      <c r="I51" s="6"/>
      <c r="J51" s="6"/>
      <c r="K51" s="6" t="s">
        <v>88</v>
      </c>
      <c r="L51" s="6" t="s">
        <v>83</v>
      </c>
      <c r="M51" s="6"/>
      <c r="N51" s="6"/>
      <c r="O51" s="6" t="s">
        <v>71</v>
      </c>
      <c r="P51" s="1" t="str">
        <f aca="false">IF(H51="Yes",IF(J51="MLS","Pro - MLS",IF(J51="MLS NEXT Pro","Pro - MLS NEXT Pro",IF(J51="USL Championship","Pro - USL Championship",IF(J51="USL League One","Pro - USL League One","Pro - Other")))),IF(H51="No",IF(K51="Amateur / Pre-Professional","Amateur / Pre-Professional","Returned to College"),"Unknown"))</f>
        <v>Unknown</v>
      </c>
      <c r="Q51" s="1" t="str">
        <f aca="false">IF(E51="Yes","Yes","No")</f>
        <v>No</v>
      </c>
      <c r="R51" s="1" t="str">
        <f aca="false">IF(H51="Yes","Yes","No")</f>
        <v>No</v>
      </c>
      <c r="S51" s="2" t="s">
        <v>287</v>
      </c>
      <c r="T51" s="2" t="s">
        <v>35</v>
      </c>
      <c r="U51" s="2" t="s">
        <v>36</v>
      </c>
    </row>
    <row r="52" customFormat="false" ht="15" hidden="false" customHeight="true" outlineLevel="0" collapsed="false">
      <c r="A52" s="6" t="s">
        <v>288</v>
      </c>
      <c r="B52" s="6" t="s">
        <v>22</v>
      </c>
      <c r="C52" s="6" t="s">
        <v>81</v>
      </c>
      <c r="D52" s="6" t="s">
        <v>112</v>
      </c>
      <c r="E52" s="6" t="s">
        <v>25</v>
      </c>
      <c r="F52" s="6"/>
      <c r="G52" s="6"/>
      <c r="H52" s="6" t="s">
        <v>25</v>
      </c>
      <c r="I52" s="6" t="s">
        <v>81</v>
      </c>
      <c r="J52" s="6" t="s">
        <v>51</v>
      </c>
      <c r="K52" s="6" t="s">
        <v>52</v>
      </c>
      <c r="L52" s="6" t="s">
        <v>83</v>
      </c>
      <c r="M52" s="6" t="s">
        <v>225</v>
      </c>
      <c r="N52" s="6" t="s">
        <v>226</v>
      </c>
      <c r="O52" s="6" t="s">
        <v>33</v>
      </c>
      <c r="P52" s="1" t="str">
        <f aca="false">IF(H52="Yes",IF(J52="MLS","Pro - MLS",IF(J52="MLS NEXT Pro","Pro - MLS NEXT Pro",IF(J52="USL Championship","Pro - USL Championship",IF(J52="USL League One","Pro - USL League One","Pro - Other")))),IF(H52="No",IF(K52="Amateur / Pre-Professional","Amateur / Pre-Professional","Returned to College"),"Unknown"))</f>
        <v>Returned to College</v>
      </c>
      <c r="Q52" s="1" t="str">
        <f aca="false">IF(E52="Yes","Yes","No")</f>
        <v>No</v>
      </c>
      <c r="R52" s="1" t="str">
        <f aca="false">IF(H52="Yes","Yes","No")</f>
        <v>No</v>
      </c>
      <c r="U52" s="2" t="s">
        <v>56</v>
      </c>
    </row>
    <row r="53" customFormat="false" ht="27.75" hidden="false" customHeight="true" outlineLevel="0" collapsed="false">
      <c r="A53" s="6" t="s">
        <v>289</v>
      </c>
      <c r="B53" s="6" t="s">
        <v>22</v>
      </c>
      <c r="C53" s="6" t="s">
        <v>290</v>
      </c>
      <c r="D53" s="6"/>
      <c r="E53" s="6" t="s">
        <v>26</v>
      </c>
      <c r="F53" s="6" t="n">
        <v>6</v>
      </c>
      <c r="G53" s="6" t="s">
        <v>210</v>
      </c>
      <c r="H53" s="6" t="s">
        <v>26</v>
      </c>
      <c r="I53" s="6" t="s">
        <v>290</v>
      </c>
      <c r="J53" s="6" t="s">
        <v>76</v>
      </c>
      <c r="K53" s="6" t="s">
        <v>29</v>
      </c>
      <c r="L53" s="6" t="s">
        <v>53</v>
      </c>
      <c r="M53" s="6" t="s">
        <v>133</v>
      </c>
      <c r="N53" s="6" t="s">
        <v>70</v>
      </c>
      <c r="O53" s="6" t="s">
        <v>71</v>
      </c>
      <c r="P53" s="1" t="str">
        <f aca="false">IF(H53="Yes",IF(J53="MLS","Pro - MLS",IF(J53="MLS NEXT Pro","Pro - MLS NEXT Pro",IF(J53="USL Championship","Pro - USL Championship",IF(J53="USL League One","Pro - USL League One","Pro - Other")))),IF(H53="No",IF(K53="Amateur / Pre-Professional","Amateur / Pre-Professional","Returned to College"),"Unknown"))</f>
        <v>Pro - MLS NEXT Pro</v>
      </c>
      <c r="Q53" s="1" t="str">
        <f aca="false">IF(E53="Yes","Yes","No")</f>
        <v>Yes</v>
      </c>
      <c r="R53" s="1" t="str">
        <f aca="false">IF(H53="Yes","Yes","No")</f>
        <v>Yes</v>
      </c>
      <c r="U53" s="2" t="s">
        <v>56</v>
      </c>
    </row>
    <row r="54" customFormat="false" ht="15" hidden="false" customHeight="true" outlineLevel="0" collapsed="false">
      <c r="A54" s="6" t="s">
        <v>291</v>
      </c>
      <c r="B54" s="6" t="s">
        <v>63</v>
      </c>
      <c r="C54" s="6" t="s">
        <v>241</v>
      </c>
      <c r="D54" s="6"/>
      <c r="E54" s="6" t="s">
        <v>25</v>
      </c>
      <c r="F54" s="6"/>
      <c r="G54" s="6"/>
      <c r="H54" s="6" t="s">
        <v>25</v>
      </c>
      <c r="I54" s="6" t="s">
        <v>292</v>
      </c>
      <c r="J54" s="6" t="s">
        <v>41</v>
      </c>
      <c r="K54" s="6" t="s">
        <v>42</v>
      </c>
      <c r="L54" s="6" t="s">
        <v>30</v>
      </c>
      <c r="M54" s="6" t="s">
        <v>293</v>
      </c>
      <c r="N54" s="6" t="s">
        <v>294</v>
      </c>
      <c r="O54" s="6" t="s">
        <v>33</v>
      </c>
      <c r="P54" s="1" t="str">
        <f aca="false">IF(H54="Yes",IF(J54="MLS","Pro - MLS",IF(J54="MLS NEXT Pro","Pro - MLS NEXT Pro",IF(J54="USL Championship","Pro - USL Championship",IF(J54="USL League One","Pro - USL League One","Pro - Other")))),IF(H54="No",IF(K54="Amateur / Pre-Professional","Amateur / Pre-Professional","Returned to College"),"Unknown"))</f>
        <v>Amateur / Pre-Professional</v>
      </c>
      <c r="Q54" s="1" t="str">
        <f aca="false">IF(E54="Yes","Yes","No")</f>
        <v>No</v>
      </c>
      <c r="R54" s="1" t="str">
        <f aca="false">IF(H54="Yes","Yes","No")</f>
        <v>No</v>
      </c>
      <c r="S54" s="2" t="s">
        <v>295</v>
      </c>
      <c r="T54" s="2" t="s">
        <v>35</v>
      </c>
      <c r="U54" s="2" t="s">
        <v>36</v>
      </c>
    </row>
    <row r="55" customFormat="false" ht="15" hidden="false" customHeight="true" outlineLevel="0" collapsed="false">
      <c r="A55" s="6" t="s">
        <v>296</v>
      </c>
      <c r="B55" s="6" t="s">
        <v>22</v>
      </c>
      <c r="C55" s="6" t="s">
        <v>155</v>
      </c>
      <c r="D55" s="6"/>
      <c r="E55" s="6" t="s">
        <v>25</v>
      </c>
      <c r="F55" s="6"/>
      <c r="G55" s="6"/>
      <c r="H55" s="6" t="s">
        <v>25</v>
      </c>
      <c r="I55" s="6" t="s">
        <v>155</v>
      </c>
      <c r="J55" s="6" t="s">
        <v>51</v>
      </c>
      <c r="K55" s="6" t="s">
        <v>52</v>
      </c>
      <c r="L55" s="6" t="s">
        <v>83</v>
      </c>
      <c r="M55" s="6" t="s">
        <v>297</v>
      </c>
      <c r="N55" s="6" t="s">
        <v>298</v>
      </c>
      <c r="O55" s="6" t="s">
        <v>33</v>
      </c>
      <c r="P55" s="1" t="str">
        <f aca="false">IF(H55="Yes",IF(J55="MLS","Pro - MLS",IF(J55="MLS NEXT Pro","Pro - MLS NEXT Pro",IF(J55="USL Championship","Pro - USL Championship",IF(J55="USL League One","Pro - USL League One","Pro - Other")))),IF(H55="No",IF(K55="Amateur / Pre-Professional","Amateur / Pre-Professional","Returned to College"),"Unknown"))</f>
        <v>Returned to College</v>
      </c>
      <c r="Q55" s="1" t="str">
        <f aca="false">IF(E55="Yes","Yes","No")</f>
        <v>No</v>
      </c>
      <c r="R55" s="1" t="str">
        <f aca="false">IF(H55="Yes","Yes","No")</f>
        <v>No</v>
      </c>
      <c r="S55" s="2" t="s">
        <v>157</v>
      </c>
      <c r="T55" s="2" t="s">
        <v>35</v>
      </c>
      <c r="U55" s="2" t="s">
        <v>36</v>
      </c>
    </row>
    <row r="56" customFormat="false" ht="15" hidden="false" customHeight="true" outlineLevel="0" collapsed="false">
      <c r="A56" s="6" t="s">
        <v>299</v>
      </c>
      <c r="B56" s="6" t="s">
        <v>48</v>
      </c>
      <c r="C56" s="6" t="s">
        <v>300</v>
      </c>
      <c r="D56" s="6" t="s">
        <v>301</v>
      </c>
      <c r="E56" s="6" t="s">
        <v>25</v>
      </c>
      <c r="F56" s="6"/>
      <c r="G56" s="6"/>
      <c r="H56" s="6"/>
      <c r="I56" s="6"/>
      <c r="J56" s="6"/>
      <c r="K56" s="6" t="s">
        <v>88</v>
      </c>
      <c r="L56" s="6" t="s">
        <v>83</v>
      </c>
      <c r="M56" s="6"/>
      <c r="N56" s="6"/>
      <c r="O56" s="6" t="s">
        <v>71</v>
      </c>
      <c r="P56" s="1" t="str">
        <f aca="false">IF(H56="Yes",IF(J56="MLS","Pro - MLS",IF(J56="MLS NEXT Pro","Pro - MLS NEXT Pro",IF(J56="USL Championship","Pro - USL Championship",IF(J56="USL League One","Pro - USL League One","Pro - Other")))),IF(H56="No",IF(K56="Amateur / Pre-Professional","Amateur / Pre-Professional","Returned to College"),"Unknown"))</f>
        <v>Unknown</v>
      </c>
      <c r="Q56" s="1" t="str">
        <f aca="false">IF(E56="Yes","Yes","No")</f>
        <v>No</v>
      </c>
      <c r="R56" s="1" t="str">
        <f aca="false">IF(H56="Yes","Yes","No")</f>
        <v>No</v>
      </c>
      <c r="S56" s="2" t="s">
        <v>302</v>
      </c>
      <c r="T56" s="2" t="s">
        <v>35</v>
      </c>
      <c r="U56" s="2" t="s">
        <v>303</v>
      </c>
    </row>
    <row r="57" customFormat="false" ht="15" hidden="false" customHeight="true" outlineLevel="0" collapsed="false">
      <c r="A57" s="6" t="s">
        <v>304</v>
      </c>
      <c r="B57" s="6" t="s">
        <v>63</v>
      </c>
      <c r="C57" s="6" t="s">
        <v>305</v>
      </c>
      <c r="D57" s="6" t="s">
        <v>306</v>
      </c>
      <c r="E57" s="6" t="s">
        <v>25</v>
      </c>
      <c r="F57" s="6"/>
      <c r="G57" s="6"/>
      <c r="H57" s="6"/>
      <c r="I57" s="6"/>
      <c r="J57" s="6"/>
      <c r="K57" s="6" t="s">
        <v>88</v>
      </c>
      <c r="L57" s="6" t="s">
        <v>30</v>
      </c>
      <c r="M57" s="6"/>
      <c r="N57" s="6"/>
      <c r="O57" s="6" t="s">
        <v>71</v>
      </c>
      <c r="P57" s="1" t="str">
        <f aca="false">IF(H57="Yes",IF(J57="MLS","Pro - MLS",IF(J57="MLS NEXT Pro","Pro - MLS NEXT Pro",IF(J57="USL Championship","Pro - USL Championship",IF(J57="USL League One","Pro - USL League One","Pro - Other")))),IF(H57="No",IF(K57="Amateur / Pre-Professional","Amateur / Pre-Professional","Returned to College"),"Unknown"))</f>
        <v>Unknown</v>
      </c>
      <c r="Q57" s="1" t="str">
        <f aca="false">IF(E57="Yes","Yes","No")</f>
        <v>No</v>
      </c>
      <c r="R57" s="1" t="str">
        <f aca="false">IF(H57="Yes","Yes","No")</f>
        <v>No</v>
      </c>
      <c r="S57" s="2" t="s">
        <v>307</v>
      </c>
      <c r="T57" s="2" t="s">
        <v>35</v>
      </c>
      <c r="U57" s="2" t="s">
        <v>36</v>
      </c>
    </row>
    <row r="58" customFormat="false" ht="15" hidden="false" customHeight="true" outlineLevel="0" collapsed="false">
      <c r="A58" s="6" t="s">
        <v>308</v>
      </c>
      <c r="B58" s="6" t="s">
        <v>22</v>
      </c>
      <c r="C58" s="6" t="s">
        <v>309</v>
      </c>
      <c r="D58" s="6"/>
      <c r="E58" s="6" t="s">
        <v>25</v>
      </c>
      <c r="F58" s="6"/>
      <c r="G58" s="6"/>
      <c r="H58" s="6"/>
      <c r="I58" s="6"/>
      <c r="J58" s="6"/>
      <c r="K58" s="6" t="s">
        <v>88</v>
      </c>
      <c r="L58" s="6" t="s">
        <v>43</v>
      </c>
      <c r="M58" s="6"/>
      <c r="N58" s="6"/>
      <c r="O58" s="6" t="s">
        <v>71</v>
      </c>
      <c r="P58" s="1" t="str">
        <f aca="false">IF(H58="Yes",IF(J58="MLS","Pro - MLS",IF(J58="MLS NEXT Pro","Pro - MLS NEXT Pro",IF(J58="USL Championship","Pro - USL Championship",IF(J58="USL League One","Pro - USL League One","Pro - Other")))),IF(H58="No",IF(K58="Amateur / Pre-Professional","Amateur / Pre-Professional","Returned to College"),"Unknown"))</f>
        <v>Unknown</v>
      </c>
      <c r="Q58" s="1" t="str">
        <f aca="false">IF(E58="Yes","Yes","No")</f>
        <v>No</v>
      </c>
      <c r="R58" s="1" t="str">
        <f aca="false">IF(H58="Yes","Yes","No")</f>
        <v>No</v>
      </c>
      <c r="S58" s="2" t="s">
        <v>310</v>
      </c>
      <c r="T58" s="2" t="s">
        <v>35</v>
      </c>
      <c r="U58" s="2" t="s">
        <v>36</v>
      </c>
    </row>
    <row r="59" customFormat="false" ht="15" hidden="false" customHeight="true" outlineLevel="0" collapsed="false">
      <c r="A59" s="6" t="s">
        <v>311</v>
      </c>
      <c r="B59" s="6" t="s">
        <v>22</v>
      </c>
      <c r="C59" s="6" t="s">
        <v>266</v>
      </c>
      <c r="D59" s="6"/>
      <c r="E59" s="6" t="s">
        <v>25</v>
      </c>
      <c r="F59" s="6"/>
      <c r="G59" s="6"/>
      <c r="H59" s="6" t="s">
        <v>25</v>
      </c>
      <c r="I59" s="6" t="s">
        <v>266</v>
      </c>
      <c r="J59" s="6" t="s">
        <v>51</v>
      </c>
      <c r="K59" s="6" t="s">
        <v>52</v>
      </c>
      <c r="L59" s="6" t="s">
        <v>83</v>
      </c>
      <c r="M59" s="6" t="s">
        <v>312</v>
      </c>
      <c r="N59" s="6" t="s">
        <v>313</v>
      </c>
      <c r="O59" s="6" t="s">
        <v>33</v>
      </c>
      <c r="P59" s="1" t="str">
        <f aca="false">IF(H59="Yes",IF(J59="MLS","Pro - MLS",IF(J59="MLS NEXT Pro","Pro - MLS NEXT Pro",IF(J59="USL Championship","Pro - USL Championship",IF(J59="USL League One","Pro - USL League One","Pro - Other")))),IF(H59="No",IF(K59="Amateur / Pre-Professional","Amateur / Pre-Professional","Returned to College"),"Unknown"))</f>
        <v>Returned to College</v>
      </c>
      <c r="Q59" s="1" t="str">
        <f aca="false">IF(E59="Yes","Yes","No")</f>
        <v>No</v>
      </c>
      <c r="R59" s="1" t="str">
        <f aca="false">IF(H59="Yes","Yes","No")</f>
        <v>No</v>
      </c>
      <c r="S59" s="2" t="s">
        <v>268</v>
      </c>
      <c r="T59" s="2" t="s">
        <v>35</v>
      </c>
      <c r="U59" s="2" t="s">
        <v>36</v>
      </c>
    </row>
    <row r="60" customFormat="false" ht="15" hidden="false" customHeight="true" outlineLevel="0" collapsed="false">
      <c r="A60" s="6" t="s">
        <v>314</v>
      </c>
      <c r="B60" s="6" t="s">
        <v>48</v>
      </c>
      <c r="C60" s="6" t="s">
        <v>315</v>
      </c>
      <c r="D60" s="6"/>
      <c r="E60" s="6" t="s">
        <v>25</v>
      </c>
      <c r="F60" s="6"/>
      <c r="G60" s="6"/>
      <c r="H60" s="6" t="s">
        <v>25</v>
      </c>
      <c r="I60" s="6" t="s">
        <v>315</v>
      </c>
      <c r="J60" s="6" t="s">
        <v>51</v>
      </c>
      <c r="K60" s="6" t="s">
        <v>52</v>
      </c>
      <c r="L60" s="6" t="s">
        <v>53</v>
      </c>
      <c r="M60" s="6" t="s">
        <v>316</v>
      </c>
      <c r="N60" s="6" t="s">
        <v>317</v>
      </c>
      <c r="O60" s="6" t="s">
        <v>33</v>
      </c>
      <c r="P60" s="1" t="str">
        <f aca="false">IF(H60="Yes",IF(J60="MLS","Pro - MLS",IF(J60="MLS NEXT Pro","Pro - MLS NEXT Pro",IF(J60="USL Championship","Pro - USL Championship",IF(J60="USL League One","Pro - USL League One","Pro - Other")))),IF(H60="No",IF(K60="Amateur / Pre-Professional","Amateur / Pre-Professional","Returned to College"),"Unknown"))</f>
        <v>Returned to College</v>
      </c>
      <c r="Q60" s="1" t="str">
        <f aca="false">IF(E60="Yes","Yes","No")</f>
        <v>No</v>
      </c>
      <c r="R60" s="1" t="str">
        <f aca="false">IF(H60="Yes","Yes","No")</f>
        <v>No</v>
      </c>
      <c r="S60" s="2" t="s">
        <v>318</v>
      </c>
      <c r="T60" s="2" t="s">
        <v>35</v>
      </c>
      <c r="U60" s="2" t="s">
        <v>36</v>
      </c>
    </row>
    <row r="61" customFormat="false" ht="15" hidden="false" customHeight="true" outlineLevel="0" collapsed="false">
      <c r="A61" s="6" t="s">
        <v>319</v>
      </c>
      <c r="B61" s="6" t="s">
        <v>22</v>
      </c>
      <c r="C61" s="6" t="s">
        <v>241</v>
      </c>
      <c r="D61" s="6"/>
      <c r="E61" s="6" t="s">
        <v>25</v>
      </c>
      <c r="F61" s="6"/>
      <c r="G61" s="6"/>
      <c r="H61" s="6"/>
      <c r="I61" s="6"/>
      <c r="J61" s="6"/>
      <c r="K61" s="6" t="s">
        <v>88</v>
      </c>
      <c r="L61" s="6" t="s">
        <v>30</v>
      </c>
      <c r="M61" s="6"/>
      <c r="N61" s="6"/>
      <c r="O61" s="6" t="s">
        <v>71</v>
      </c>
      <c r="P61" s="1" t="str">
        <f aca="false">IF(H61="Yes",IF(J61="MLS","Pro - MLS",IF(J61="MLS NEXT Pro","Pro - MLS NEXT Pro",IF(J61="USL Championship","Pro - USL Championship",IF(J61="USL League One","Pro - USL League One","Pro - Other")))),IF(H61="No",IF(K61="Amateur / Pre-Professional","Amateur / Pre-Professional","Returned to College"),"Unknown"))</f>
        <v>Unknown</v>
      </c>
      <c r="Q61" s="1" t="str">
        <f aca="false">IF(E61="Yes","Yes","No")</f>
        <v>No</v>
      </c>
      <c r="R61" s="1" t="str">
        <f aca="false">IF(H61="Yes","Yes","No")</f>
        <v>No</v>
      </c>
      <c r="S61" s="2" t="s">
        <v>295</v>
      </c>
      <c r="T61" s="2" t="s">
        <v>35</v>
      </c>
      <c r="U61" s="2" t="s">
        <v>36</v>
      </c>
    </row>
    <row r="62" customFormat="false" ht="15" hidden="false" customHeight="true" outlineLevel="0" collapsed="false">
      <c r="A62" s="6" t="s">
        <v>320</v>
      </c>
      <c r="B62" s="6" t="s">
        <v>22</v>
      </c>
      <c r="C62" s="6" t="s">
        <v>321</v>
      </c>
      <c r="D62" s="6"/>
      <c r="E62" s="6" t="s">
        <v>25</v>
      </c>
      <c r="F62" s="6"/>
      <c r="G62" s="6"/>
      <c r="H62" s="6" t="s">
        <v>25</v>
      </c>
      <c r="I62" s="6" t="s">
        <v>322</v>
      </c>
      <c r="J62" s="6" t="s">
        <v>51</v>
      </c>
      <c r="K62" s="6" t="s">
        <v>52</v>
      </c>
      <c r="L62" s="6" t="s">
        <v>30</v>
      </c>
      <c r="M62" s="6" t="s">
        <v>323</v>
      </c>
      <c r="N62" s="6" t="s">
        <v>324</v>
      </c>
      <c r="O62" s="6" t="s">
        <v>33</v>
      </c>
      <c r="P62" s="1" t="str">
        <f aca="false">IF(H62="Yes",IF(J62="MLS","Pro - MLS",IF(J62="MLS NEXT Pro","Pro - MLS NEXT Pro",IF(J62="USL Championship","Pro - USL Championship",IF(J62="USL League One","Pro - USL League One","Pro - Other")))),IF(H62="No",IF(K62="Amateur / Pre-Professional","Amateur / Pre-Professional","Returned to College"),"Unknown"))</f>
        <v>Returned to College</v>
      </c>
      <c r="Q62" s="1" t="str">
        <f aca="false">IF(E62="Yes","Yes","No")</f>
        <v>No</v>
      </c>
      <c r="R62" s="1" t="str">
        <f aca="false">IF(H62="Yes","Yes","No")</f>
        <v>No</v>
      </c>
      <c r="S62" s="2" t="s">
        <v>325</v>
      </c>
      <c r="T62" s="2" t="s">
        <v>35</v>
      </c>
      <c r="U62" s="2" t="s">
        <v>36</v>
      </c>
    </row>
    <row r="63" customFormat="false" ht="15" hidden="false" customHeight="true" outlineLevel="0" collapsed="false">
      <c r="A63" s="6" t="s">
        <v>326</v>
      </c>
      <c r="B63" s="6" t="s">
        <v>63</v>
      </c>
      <c r="C63" s="6" t="s">
        <v>184</v>
      </c>
      <c r="D63" s="6"/>
      <c r="E63" s="6" t="s">
        <v>25</v>
      </c>
      <c r="F63" s="6"/>
      <c r="G63" s="6"/>
      <c r="H63" s="6" t="s">
        <v>25</v>
      </c>
      <c r="I63" s="6" t="s">
        <v>184</v>
      </c>
      <c r="J63" s="6" t="s">
        <v>51</v>
      </c>
      <c r="K63" s="6" t="s">
        <v>52</v>
      </c>
      <c r="L63" s="6" t="s">
        <v>53</v>
      </c>
      <c r="M63" s="6" t="s">
        <v>327</v>
      </c>
      <c r="N63" s="6" t="s">
        <v>328</v>
      </c>
      <c r="O63" s="6" t="s">
        <v>33</v>
      </c>
      <c r="P63" s="1" t="str">
        <f aca="false">IF(H63="Yes",IF(J63="MLS","Pro - MLS",IF(J63="MLS NEXT Pro","Pro - MLS NEXT Pro",IF(J63="USL Championship","Pro - USL Championship",IF(J63="USL League One","Pro - USL League One","Pro - Other")))),IF(H63="No",IF(K63="Amateur / Pre-Professional","Amateur / Pre-Professional","Returned to College"),"Unknown"))</f>
        <v>Returned to College</v>
      </c>
      <c r="Q63" s="1" t="str">
        <f aca="false">IF(E63="Yes","Yes","No")</f>
        <v>No</v>
      </c>
      <c r="R63" s="1" t="str">
        <f aca="false">IF(H63="Yes","Yes","No")</f>
        <v>No</v>
      </c>
      <c r="S63" s="2" t="s">
        <v>329</v>
      </c>
      <c r="T63" s="2" t="s">
        <v>35</v>
      </c>
      <c r="U63" s="2" t="s">
        <v>36</v>
      </c>
    </row>
    <row r="64" customFormat="false" ht="27.75" hidden="false" customHeight="true" outlineLevel="0" collapsed="false">
      <c r="A64" s="6" t="s">
        <v>330</v>
      </c>
      <c r="B64" s="6" t="s">
        <v>38</v>
      </c>
      <c r="C64" s="6" t="s">
        <v>331</v>
      </c>
      <c r="D64" s="6"/>
      <c r="E64" s="6" t="s">
        <v>25</v>
      </c>
      <c r="F64" s="6"/>
      <c r="G64" s="6"/>
      <c r="H64" s="6"/>
      <c r="I64" s="6"/>
      <c r="J64" s="6"/>
      <c r="K64" s="6" t="s">
        <v>88</v>
      </c>
      <c r="L64" s="6" t="s">
        <v>43</v>
      </c>
      <c r="M64" s="6"/>
      <c r="N64" s="6"/>
      <c r="O64" s="6" t="s">
        <v>71</v>
      </c>
      <c r="P64" s="1" t="str">
        <f aca="false">IF(H64="Yes",IF(J64="MLS","Pro - MLS",IF(J64="MLS NEXT Pro","Pro - MLS NEXT Pro",IF(J64="USL Championship","Pro - USL Championship",IF(J64="USL League One","Pro - USL League One","Pro - Other")))),IF(H64="No",IF(K64="Amateur / Pre-Professional","Amateur / Pre-Professional","Returned to College"),"Unknown"))</f>
        <v>Unknown</v>
      </c>
      <c r="Q64" s="1" t="str">
        <f aca="false">IF(E64="Yes","Yes","No")</f>
        <v>No</v>
      </c>
      <c r="R64" s="1" t="str">
        <f aca="false">IF(H64="Yes","Yes","No")</f>
        <v>No</v>
      </c>
      <c r="S64" s="2" t="s">
        <v>332</v>
      </c>
      <c r="T64" s="2" t="s">
        <v>35</v>
      </c>
      <c r="U64" s="2" t="s">
        <v>36</v>
      </c>
    </row>
    <row r="65" customFormat="false" ht="27.75" hidden="false" customHeight="true" outlineLevel="0" collapsed="false">
      <c r="A65" s="6" t="s">
        <v>333</v>
      </c>
      <c r="B65" s="6" t="s">
        <v>63</v>
      </c>
      <c r="C65" s="6" t="s">
        <v>334</v>
      </c>
      <c r="D65" s="6" t="s">
        <v>335</v>
      </c>
      <c r="E65" s="6" t="s">
        <v>25</v>
      </c>
      <c r="F65" s="6"/>
      <c r="G65" s="6"/>
      <c r="H65" s="6" t="s">
        <v>25</v>
      </c>
      <c r="I65" s="6" t="s">
        <v>334</v>
      </c>
      <c r="J65" s="6" t="s">
        <v>51</v>
      </c>
      <c r="K65" s="6" t="s">
        <v>52</v>
      </c>
      <c r="L65" s="6" t="s">
        <v>53</v>
      </c>
      <c r="M65" s="6" t="s">
        <v>336</v>
      </c>
      <c r="N65" s="6" t="s">
        <v>337</v>
      </c>
      <c r="O65" s="6" t="s">
        <v>33</v>
      </c>
      <c r="P65" s="1" t="str">
        <f aca="false">IF(H65="Yes",IF(J65="MLS","Pro - MLS",IF(J65="MLS NEXT Pro","Pro - MLS NEXT Pro",IF(J65="USL Championship","Pro - USL Championship",IF(J65="USL League One","Pro - USL League One","Pro - Other")))),IF(H65="No",IF(K65="Amateur / Pre-Professional","Amateur / Pre-Professional","Returned to College"),"Unknown"))</f>
        <v>Returned to College</v>
      </c>
      <c r="Q65" s="1" t="str">
        <f aca="false">IF(E65="Yes","Yes","No")</f>
        <v>No</v>
      </c>
      <c r="R65" s="1" t="str">
        <f aca="false">IF(H65="Yes","Yes","No")</f>
        <v>No</v>
      </c>
      <c r="S65" s="2" t="s">
        <v>338</v>
      </c>
      <c r="T65" s="2" t="s">
        <v>35</v>
      </c>
      <c r="U65" s="2" t="s">
        <v>36</v>
      </c>
    </row>
    <row r="66" customFormat="false" ht="15" hidden="false" customHeight="true" outlineLevel="0" collapsed="false">
      <c r="A66" s="6" t="s">
        <v>339</v>
      </c>
      <c r="B66" s="6" t="s">
        <v>38</v>
      </c>
      <c r="C66" s="6" t="s">
        <v>111</v>
      </c>
      <c r="D66" s="6"/>
      <c r="E66" s="6" t="s">
        <v>25</v>
      </c>
      <c r="F66" s="6"/>
      <c r="G66" s="6"/>
      <c r="H66" s="6" t="s">
        <v>25</v>
      </c>
      <c r="I66" s="6" t="s">
        <v>340</v>
      </c>
      <c r="J66" s="6" t="s">
        <v>51</v>
      </c>
      <c r="K66" s="6" t="s">
        <v>52</v>
      </c>
      <c r="L66" s="6" t="s">
        <v>53</v>
      </c>
      <c r="M66" s="6" t="s">
        <v>341</v>
      </c>
      <c r="N66" s="6" t="s">
        <v>342</v>
      </c>
      <c r="O66" s="6" t="s">
        <v>33</v>
      </c>
      <c r="P66" s="1" t="str">
        <f aca="false">IF(H66="Yes",IF(J66="MLS","Pro - MLS",IF(J66="MLS NEXT Pro","Pro - MLS NEXT Pro",IF(J66="USL Championship","Pro - USL Championship",IF(J66="USL League One","Pro - USL League One","Pro - Other")))),IF(H66="No",IF(K66="Amateur / Pre-Professional","Amateur / Pre-Professional","Returned to College"),"Unknown"))</f>
        <v>Returned to College</v>
      </c>
      <c r="Q66" s="1" t="str">
        <f aca="false">IF(E66="Yes","Yes","No")</f>
        <v>No</v>
      </c>
      <c r="R66" s="1" t="str">
        <f aca="false">IF(H66="Yes","Yes","No")</f>
        <v>No</v>
      </c>
      <c r="S66" s="2" t="s">
        <v>113</v>
      </c>
      <c r="T66" s="2" t="s">
        <v>35</v>
      </c>
      <c r="U66" s="2" t="s">
        <v>36</v>
      </c>
    </row>
    <row r="67" customFormat="false" ht="15" hidden="false" customHeight="true" outlineLevel="0" collapsed="false">
      <c r="A67" s="6" t="s">
        <v>343</v>
      </c>
      <c r="B67" s="6" t="s">
        <v>48</v>
      </c>
      <c r="C67" s="6" t="s">
        <v>199</v>
      </c>
      <c r="D67" s="6" t="s">
        <v>344</v>
      </c>
      <c r="E67" s="6" t="s">
        <v>25</v>
      </c>
      <c r="F67" s="6"/>
      <c r="G67" s="6"/>
      <c r="H67" s="6"/>
      <c r="I67" s="6"/>
      <c r="J67" s="6"/>
      <c r="K67" s="6" t="s">
        <v>88</v>
      </c>
      <c r="L67" s="6" t="s">
        <v>92</v>
      </c>
      <c r="M67" s="6"/>
      <c r="N67" s="6"/>
      <c r="O67" s="6" t="s">
        <v>71</v>
      </c>
      <c r="P67" s="1" t="str">
        <f aca="false">IF(H67="Yes",IF(J67="MLS","Pro - MLS",IF(J67="MLS NEXT Pro","Pro - MLS NEXT Pro",IF(J67="USL Championship","Pro - USL Championship",IF(J67="USL League One","Pro - USL League One","Pro - Other")))),IF(H67="No",IF(K67="Amateur / Pre-Professional","Amateur / Pre-Professional","Returned to College"),"Unknown"))</f>
        <v>Unknown</v>
      </c>
      <c r="Q67" s="1" t="str">
        <f aca="false">IF(E67="Yes","Yes","No")</f>
        <v>No</v>
      </c>
      <c r="R67" s="1" t="str">
        <f aca="false">IF(H67="Yes","Yes","No")</f>
        <v>No</v>
      </c>
      <c r="S67" s="2" t="s">
        <v>203</v>
      </c>
      <c r="T67" s="2" t="s">
        <v>35</v>
      </c>
      <c r="U67" s="2" t="s">
        <v>36</v>
      </c>
    </row>
    <row r="68" customFormat="false" ht="27.75" hidden="false" customHeight="true" outlineLevel="0" collapsed="false">
      <c r="A68" s="6" t="s">
        <v>345</v>
      </c>
      <c r="B68" s="6" t="s">
        <v>48</v>
      </c>
      <c r="C68" s="6" t="s">
        <v>331</v>
      </c>
      <c r="D68" s="6"/>
      <c r="E68" s="6" t="s">
        <v>25</v>
      </c>
      <c r="F68" s="6"/>
      <c r="G68" s="6"/>
      <c r="H68" s="6"/>
      <c r="I68" s="6"/>
      <c r="J68" s="6"/>
      <c r="K68" s="6" t="s">
        <v>88</v>
      </c>
      <c r="L68" s="6" t="s">
        <v>43</v>
      </c>
      <c r="M68" s="6"/>
      <c r="N68" s="6"/>
      <c r="O68" s="6" t="s">
        <v>71</v>
      </c>
      <c r="P68" s="1" t="str">
        <f aca="false">IF(H68="Yes",IF(J68="MLS","Pro - MLS",IF(J68="MLS NEXT Pro","Pro - MLS NEXT Pro",IF(J68="USL Championship","Pro - USL Championship",IF(J68="USL League One","Pro - USL League One","Pro - Other")))),IF(H68="No",IF(K68="Amateur / Pre-Professional","Amateur / Pre-Professional","Returned to College"),"Unknown"))</f>
        <v>Unknown</v>
      </c>
      <c r="Q68" s="1" t="str">
        <f aca="false">IF(E68="Yes","Yes","No")</f>
        <v>No</v>
      </c>
      <c r="R68" s="1" t="str">
        <f aca="false">IF(H68="Yes","Yes","No")</f>
        <v>No</v>
      </c>
      <c r="S68" s="2" t="s">
        <v>346</v>
      </c>
      <c r="T68" s="2" t="s">
        <v>35</v>
      </c>
      <c r="U68" s="2" t="s">
        <v>347</v>
      </c>
    </row>
    <row r="69" customFormat="false" ht="15" hidden="false" customHeight="true" outlineLevel="0" collapsed="false">
      <c r="A69" s="6" t="s">
        <v>348</v>
      </c>
      <c r="B69" s="6" t="s">
        <v>63</v>
      </c>
      <c r="C69" s="6" t="s">
        <v>81</v>
      </c>
      <c r="D69" s="6" t="s">
        <v>301</v>
      </c>
      <c r="E69" s="6" t="s">
        <v>25</v>
      </c>
      <c r="F69" s="6"/>
      <c r="G69" s="6"/>
      <c r="H69" s="6" t="s">
        <v>26</v>
      </c>
      <c r="I69" s="6" t="s">
        <v>349</v>
      </c>
      <c r="J69" s="6" t="s">
        <v>76</v>
      </c>
      <c r="K69" s="6" t="s">
        <v>29</v>
      </c>
      <c r="L69" s="6" t="s">
        <v>53</v>
      </c>
      <c r="M69" s="6" t="s">
        <v>350</v>
      </c>
      <c r="N69" s="6" t="s">
        <v>351</v>
      </c>
      <c r="O69" s="6" t="s">
        <v>33</v>
      </c>
      <c r="P69" s="1" t="str">
        <f aca="false">IF(H69="Yes",IF(J69="MLS","Pro - MLS",IF(J69="MLS NEXT Pro","Pro - MLS NEXT Pro",IF(J69="USL Championship","Pro - USL Championship",IF(J69="USL League One","Pro - USL League One","Pro - Other")))),IF(H69="No",IF(K69="Amateur / Pre-Professional","Amateur / Pre-Professional","Returned to College"),"Unknown"))</f>
        <v>Pro - MLS NEXT Pro</v>
      </c>
      <c r="Q69" s="1" t="str">
        <f aca="false">IF(E69="Yes","Yes","No")</f>
        <v>No</v>
      </c>
      <c r="R69" s="1" t="str">
        <f aca="false">IF(H69="Yes","Yes","No")</f>
        <v>Yes</v>
      </c>
      <c r="U69" s="2" t="s">
        <v>56</v>
      </c>
    </row>
    <row r="70" customFormat="false" ht="27.75" hidden="false" customHeight="true" outlineLevel="0" collapsed="false">
      <c r="A70" s="6" t="s">
        <v>352</v>
      </c>
      <c r="B70" s="6" t="s">
        <v>22</v>
      </c>
      <c r="C70" s="6" t="s">
        <v>353</v>
      </c>
      <c r="D70" s="6" t="s">
        <v>354</v>
      </c>
      <c r="E70" s="6" t="s">
        <v>26</v>
      </c>
      <c r="F70" s="6" t="n">
        <v>78</v>
      </c>
      <c r="G70" s="6" t="s">
        <v>230</v>
      </c>
      <c r="H70" s="6" t="s">
        <v>26</v>
      </c>
      <c r="I70" s="6" t="s">
        <v>355</v>
      </c>
      <c r="J70" s="6" t="s">
        <v>76</v>
      </c>
      <c r="K70" s="6" t="s">
        <v>29</v>
      </c>
      <c r="L70" s="6" t="s">
        <v>30</v>
      </c>
      <c r="M70" s="6" t="s">
        <v>133</v>
      </c>
      <c r="N70" s="6" t="s">
        <v>70</v>
      </c>
      <c r="O70" s="6" t="s">
        <v>71</v>
      </c>
      <c r="P70" s="1" t="str">
        <f aca="false">IF(H70="Yes",IF(J70="MLS","Pro - MLS",IF(J70="MLS NEXT Pro","Pro - MLS NEXT Pro",IF(J70="USL Championship","Pro - USL Championship",IF(J70="USL League One","Pro - USL League One","Pro - Other")))),IF(H70="No",IF(K70="Amateur / Pre-Professional","Amateur / Pre-Professional","Returned to College"),"Unknown"))</f>
        <v>Pro - MLS NEXT Pro</v>
      </c>
      <c r="Q70" s="1" t="str">
        <f aca="false">IF(E70="Yes","Yes","No")</f>
        <v>Yes</v>
      </c>
      <c r="R70" s="1" t="str">
        <f aca="false">IF(H70="Yes","Yes","No")</f>
        <v>Yes</v>
      </c>
      <c r="U70" s="2" t="s">
        <v>56</v>
      </c>
    </row>
    <row r="71" customFormat="false" ht="27.75" hidden="false" customHeight="true" outlineLevel="0" collapsed="false">
      <c r="A71" s="6" t="s">
        <v>356</v>
      </c>
      <c r="B71" s="6" t="s">
        <v>63</v>
      </c>
      <c r="C71" s="6" t="s">
        <v>357</v>
      </c>
      <c r="D71" s="6"/>
      <c r="E71" s="6" t="s">
        <v>26</v>
      </c>
      <c r="F71" s="6" t="n">
        <v>80</v>
      </c>
      <c r="G71" s="6" t="s">
        <v>358</v>
      </c>
      <c r="H71" s="6" t="s">
        <v>26</v>
      </c>
      <c r="I71" s="6" t="s">
        <v>358</v>
      </c>
      <c r="J71" s="6" t="s">
        <v>67</v>
      </c>
      <c r="K71" s="6" t="s">
        <v>29</v>
      </c>
      <c r="L71" s="6" t="s">
        <v>83</v>
      </c>
      <c r="M71" s="6" t="s">
        <v>69</v>
      </c>
      <c r="N71" s="6" t="s">
        <v>70</v>
      </c>
      <c r="O71" s="6" t="s">
        <v>71</v>
      </c>
      <c r="P71" s="1" t="str">
        <f aca="false">IF(H71="Yes",IF(J71="MLS","Pro - MLS",IF(J71="MLS NEXT Pro","Pro - MLS NEXT Pro",IF(J71="USL Championship","Pro - USL Championship",IF(J71="USL League One","Pro - USL League One","Pro - Other")))),IF(H71="No",IF(K71="Amateur / Pre-Professional","Amateur / Pre-Professional","Returned to College"),"Unknown"))</f>
        <v>Pro - MLS</v>
      </c>
      <c r="Q71" s="1" t="str">
        <f aca="false">IF(E71="Yes","Yes","No")</f>
        <v>Yes</v>
      </c>
      <c r="R71" s="1" t="str">
        <f aca="false">IF(H71="Yes","Yes","No")</f>
        <v>Yes</v>
      </c>
      <c r="U71" s="2" t="s">
        <v>56</v>
      </c>
    </row>
    <row r="72" customFormat="false" ht="15" hidden="false" customHeight="true" outlineLevel="0" collapsed="false">
      <c r="A72" s="6" t="s">
        <v>359</v>
      </c>
      <c r="B72" s="6" t="s">
        <v>38</v>
      </c>
      <c r="C72" s="6" t="s">
        <v>58</v>
      </c>
      <c r="D72" s="6"/>
      <c r="E72" s="6" t="s">
        <v>25</v>
      </c>
      <c r="F72" s="6"/>
      <c r="G72" s="6"/>
      <c r="H72" s="6" t="s">
        <v>26</v>
      </c>
      <c r="I72" s="6" t="s">
        <v>360</v>
      </c>
      <c r="J72" s="6" t="s">
        <v>361</v>
      </c>
      <c r="K72" s="6" t="s">
        <v>29</v>
      </c>
      <c r="L72" s="6" t="s">
        <v>267</v>
      </c>
      <c r="M72" s="6" t="s">
        <v>362</v>
      </c>
      <c r="N72" s="6" t="s">
        <v>363</v>
      </c>
      <c r="O72" s="6" t="s">
        <v>33</v>
      </c>
      <c r="P72" s="1" t="str">
        <f aca="false">IF(H72="Yes",IF(J72="MLS","Pro - MLS",IF(J72="MLS NEXT Pro","Pro - MLS NEXT Pro",IF(J72="USL Championship","Pro - USL Championship",IF(J72="USL League One","Pro - USL League One","Pro - Other")))),IF(H72="No",IF(K72="Amateur / Pre-Professional","Amateur / Pre-Professional","Returned to College"),"Unknown"))</f>
        <v>Pro - USL Championship</v>
      </c>
      <c r="Q72" s="1" t="str">
        <f aca="false">IF(E72="Yes","Yes","No")</f>
        <v>No</v>
      </c>
      <c r="R72" s="1" t="str">
        <f aca="false">IF(H72="Yes","Yes","No")</f>
        <v>Yes</v>
      </c>
      <c r="S72" s="2" t="s">
        <v>364</v>
      </c>
      <c r="T72" s="2" t="s">
        <v>35</v>
      </c>
      <c r="U72" s="2" t="s">
        <v>36</v>
      </c>
    </row>
    <row r="73" customFormat="false" ht="15" hidden="false" customHeight="true" outlineLevel="0" collapsed="false">
      <c r="A73" s="6" t="s">
        <v>365</v>
      </c>
      <c r="B73" s="6" t="s">
        <v>22</v>
      </c>
      <c r="C73" s="6" t="s">
        <v>366</v>
      </c>
      <c r="D73" s="6"/>
      <c r="E73" s="6" t="s">
        <v>25</v>
      </c>
      <c r="F73" s="6"/>
      <c r="G73" s="6"/>
      <c r="H73" s="6" t="s">
        <v>25</v>
      </c>
      <c r="I73" s="6" t="s">
        <v>366</v>
      </c>
      <c r="J73" s="6" t="s">
        <v>51</v>
      </c>
      <c r="K73" s="6" t="s">
        <v>52</v>
      </c>
      <c r="L73" s="6" t="s">
        <v>53</v>
      </c>
      <c r="M73" s="6" t="s">
        <v>367</v>
      </c>
      <c r="N73" s="6" t="s">
        <v>368</v>
      </c>
      <c r="O73" s="6" t="s">
        <v>33</v>
      </c>
      <c r="P73" s="1" t="str">
        <f aca="false">IF(H73="Yes",IF(J73="MLS","Pro - MLS",IF(J73="MLS NEXT Pro","Pro - MLS NEXT Pro",IF(J73="USL Championship","Pro - USL Championship",IF(J73="USL League One","Pro - USL League One","Pro - Other")))),IF(H73="No",IF(K73="Amateur / Pre-Professional","Amateur / Pre-Professional","Returned to College"),"Unknown"))</f>
        <v>Returned to College</v>
      </c>
      <c r="Q73" s="1" t="str">
        <f aca="false">IF(E73="Yes","Yes","No")</f>
        <v>No</v>
      </c>
      <c r="R73" s="1" t="str">
        <f aca="false">IF(H73="Yes","Yes","No")</f>
        <v>No</v>
      </c>
      <c r="S73" s="2" t="s">
        <v>369</v>
      </c>
      <c r="T73" s="2" t="s">
        <v>35</v>
      </c>
      <c r="U73" s="2" t="s">
        <v>36</v>
      </c>
    </row>
    <row r="74" customFormat="false" ht="15" hidden="false" customHeight="true" outlineLevel="0" collapsed="false">
      <c r="A74" s="6" t="s">
        <v>370</v>
      </c>
      <c r="B74" s="6" t="s">
        <v>22</v>
      </c>
      <c r="C74" s="6" t="s">
        <v>371</v>
      </c>
      <c r="D74" s="6"/>
      <c r="E74" s="6" t="s">
        <v>25</v>
      </c>
      <c r="F74" s="6"/>
      <c r="G74" s="6"/>
      <c r="H74" s="6" t="s">
        <v>26</v>
      </c>
      <c r="I74" s="6" t="s">
        <v>372</v>
      </c>
      <c r="J74" s="6" t="s">
        <v>28</v>
      </c>
      <c r="K74" s="6" t="s">
        <v>29</v>
      </c>
      <c r="L74" s="6" t="s">
        <v>30</v>
      </c>
      <c r="M74" s="6" t="s">
        <v>373</v>
      </c>
      <c r="N74" s="6" t="s">
        <v>374</v>
      </c>
      <c r="O74" s="6" t="s">
        <v>33</v>
      </c>
      <c r="P74" s="1" t="str">
        <f aca="false">IF(H74="Yes",IF(J74="MLS","Pro - MLS",IF(J74="MLS NEXT Pro","Pro - MLS NEXT Pro",IF(J74="USL Championship","Pro - USL Championship",IF(J74="USL League One","Pro - USL League One","Pro - Other")))),IF(H74="No",IF(K74="Amateur / Pre-Professional","Amateur / Pre-Professional","Returned to College"),"Unknown"))</f>
        <v>Pro - USL League One</v>
      </c>
      <c r="Q74" s="1" t="str">
        <f aca="false">IF(E74="Yes","Yes","No")</f>
        <v>No</v>
      </c>
      <c r="R74" s="1" t="str">
        <f aca="false">IF(H74="Yes","Yes","No")</f>
        <v>Yes</v>
      </c>
      <c r="S74" s="2" t="s">
        <v>375</v>
      </c>
      <c r="T74" s="2" t="s">
        <v>35</v>
      </c>
      <c r="U74" s="2" t="s">
        <v>36</v>
      </c>
    </row>
    <row r="75" customFormat="false" ht="15" hidden="false" customHeight="true" outlineLevel="0" collapsed="false">
      <c r="A75" s="6" t="s">
        <v>376</v>
      </c>
      <c r="B75" s="6" t="s">
        <v>63</v>
      </c>
      <c r="C75" s="6" t="s">
        <v>155</v>
      </c>
      <c r="D75" s="6"/>
      <c r="E75" s="6" t="s">
        <v>25</v>
      </c>
      <c r="F75" s="6"/>
      <c r="G75" s="6"/>
      <c r="H75" s="6" t="s">
        <v>26</v>
      </c>
      <c r="I75" s="6" t="s">
        <v>377</v>
      </c>
      <c r="J75" s="6" t="s">
        <v>76</v>
      </c>
      <c r="K75" s="6" t="s">
        <v>29</v>
      </c>
      <c r="L75" s="6" t="s">
        <v>43</v>
      </c>
      <c r="M75" s="6" t="s">
        <v>378</v>
      </c>
      <c r="N75" s="6" t="s">
        <v>379</v>
      </c>
      <c r="O75" s="6" t="s">
        <v>71</v>
      </c>
      <c r="P75" s="1" t="str">
        <f aca="false">IF(H75="Yes",IF(J75="MLS","Pro - MLS",IF(J75="MLS NEXT Pro","Pro - MLS NEXT Pro",IF(J75="USL Championship","Pro - USL Championship",IF(J75="USL League One","Pro - USL League One","Pro - Other")))),IF(H75="No",IF(K75="Amateur / Pre-Professional","Amateur / Pre-Professional","Returned to College"),"Unknown"))</f>
        <v>Pro - MLS NEXT Pro</v>
      </c>
      <c r="Q75" s="1" t="str">
        <f aca="false">IF(E75="Yes","Yes","No")</f>
        <v>No</v>
      </c>
      <c r="R75" s="1" t="str">
        <f aca="false">IF(H75="Yes","Yes","No")</f>
        <v>Yes</v>
      </c>
      <c r="S75" s="2" t="s">
        <v>157</v>
      </c>
      <c r="T75" s="2" t="s">
        <v>35</v>
      </c>
      <c r="U75" s="2" t="s">
        <v>36</v>
      </c>
    </row>
    <row r="76" customFormat="false" ht="15" hidden="false" customHeight="true" outlineLevel="0" collapsed="false">
      <c r="A76" s="6" t="s">
        <v>380</v>
      </c>
      <c r="B76" s="6" t="s">
        <v>63</v>
      </c>
      <c r="C76" s="6" t="s">
        <v>250</v>
      </c>
      <c r="D76" s="6" t="s">
        <v>381</v>
      </c>
      <c r="E76" s="6" t="s">
        <v>25</v>
      </c>
      <c r="F76" s="6"/>
      <c r="G76" s="6"/>
      <c r="H76" s="6" t="s">
        <v>25</v>
      </c>
      <c r="I76" s="6" t="s">
        <v>250</v>
      </c>
      <c r="J76" s="6" t="s">
        <v>51</v>
      </c>
      <c r="K76" s="6" t="s">
        <v>52</v>
      </c>
      <c r="L76" s="6" t="s">
        <v>53</v>
      </c>
      <c r="M76" s="6" t="s">
        <v>382</v>
      </c>
      <c r="N76" s="6" t="s">
        <v>383</v>
      </c>
      <c r="O76" s="6" t="s">
        <v>33</v>
      </c>
      <c r="P76" s="1" t="str">
        <f aca="false">IF(H76="Yes",IF(J76="MLS","Pro - MLS",IF(J76="MLS NEXT Pro","Pro - MLS NEXT Pro",IF(J76="USL Championship","Pro - USL Championship",IF(J76="USL League One","Pro - USL League One","Pro - Other")))),IF(H76="No",IF(K76="Amateur / Pre-Professional","Amateur / Pre-Professional","Returned to College"),"Unknown"))</f>
        <v>Returned to College</v>
      </c>
      <c r="Q76" s="1" t="str">
        <f aca="false">IF(E76="Yes","Yes","No")</f>
        <v>No</v>
      </c>
      <c r="R76" s="1" t="str">
        <f aca="false">IF(H76="Yes","Yes","No")</f>
        <v>No</v>
      </c>
      <c r="S76" s="2" t="s">
        <v>384</v>
      </c>
      <c r="T76" s="2" t="s">
        <v>35</v>
      </c>
      <c r="U76" s="2" t="s">
        <v>36</v>
      </c>
    </row>
    <row r="77" customFormat="false" ht="15" hidden="false" customHeight="true" outlineLevel="0" collapsed="false">
      <c r="A77" s="6" t="s">
        <v>385</v>
      </c>
      <c r="B77" s="6" t="s">
        <v>63</v>
      </c>
      <c r="C77" s="6" t="s">
        <v>386</v>
      </c>
      <c r="D77" s="6" t="s">
        <v>387</v>
      </c>
      <c r="E77" s="6" t="s">
        <v>25</v>
      </c>
      <c r="F77" s="6"/>
      <c r="G77" s="6"/>
      <c r="H77" s="6" t="s">
        <v>26</v>
      </c>
      <c r="I77" s="6" t="s">
        <v>388</v>
      </c>
      <c r="J77" s="6" t="s">
        <v>28</v>
      </c>
      <c r="K77" s="6" t="s">
        <v>29</v>
      </c>
      <c r="L77" s="6" t="s">
        <v>30</v>
      </c>
      <c r="M77" s="6" t="s">
        <v>389</v>
      </c>
      <c r="N77" s="6" t="s">
        <v>390</v>
      </c>
      <c r="O77" s="6" t="s">
        <v>33</v>
      </c>
      <c r="P77" s="1" t="str">
        <f aca="false">IF(H77="Yes",IF(J77="MLS","Pro - MLS",IF(J77="MLS NEXT Pro","Pro - MLS NEXT Pro",IF(J77="USL Championship","Pro - USL Championship",IF(J77="USL League One","Pro - USL League One","Pro - Other")))),IF(H77="No",IF(K77="Amateur / Pre-Professional","Amateur / Pre-Professional","Returned to College"),"Unknown"))</f>
        <v>Pro - USL League One</v>
      </c>
      <c r="Q77" s="1" t="str">
        <f aca="false">IF(E77="Yes","Yes","No")</f>
        <v>No</v>
      </c>
      <c r="R77" s="1" t="str">
        <f aca="false">IF(H77="Yes","Yes","No")</f>
        <v>Yes</v>
      </c>
      <c r="S77" s="2" t="s">
        <v>391</v>
      </c>
      <c r="T77" s="2" t="s">
        <v>35</v>
      </c>
      <c r="U77" s="2" t="s">
        <v>392</v>
      </c>
    </row>
    <row r="78" customFormat="false" ht="15" hidden="false" customHeight="true" outlineLevel="0" collapsed="false">
      <c r="A78" s="6" t="s">
        <v>393</v>
      </c>
      <c r="B78" s="6" t="s">
        <v>48</v>
      </c>
      <c r="C78" s="6" t="s">
        <v>394</v>
      </c>
      <c r="D78" s="6"/>
      <c r="E78" s="6" t="s">
        <v>25</v>
      </c>
      <c r="F78" s="6"/>
      <c r="G78" s="6"/>
      <c r="H78" s="6"/>
      <c r="I78" s="6"/>
      <c r="J78" s="6"/>
      <c r="K78" s="6" t="s">
        <v>88</v>
      </c>
      <c r="L78" s="6" t="s">
        <v>30</v>
      </c>
      <c r="M78" s="6"/>
      <c r="N78" s="6"/>
      <c r="O78" s="6" t="s">
        <v>71</v>
      </c>
      <c r="P78" s="1" t="str">
        <f aca="false">IF(H78="Yes",IF(J78="MLS","Pro - MLS",IF(J78="MLS NEXT Pro","Pro - MLS NEXT Pro",IF(J78="USL Championship","Pro - USL Championship",IF(J78="USL League One","Pro - USL League One","Pro - Other")))),IF(H78="No",IF(K78="Amateur / Pre-Professional","Amateur / Pre-Professional","Returned to College"),"Unknown"))</f>
        <v>Unknown</v>
      </c>
      <c r="Q78" s="1" t="str">
        <f aca="false">IF(E78="Yes","Yes","No")</f>
        <v>No</v>
      </c>
      <c r="R78" s="1" t="str">
        <f aca="false">IF(H78="Yes","Yes","No")</f>
        <v>No</v>
      </c>
      <c r="S78" s="2" t="s">
        <v>395</v>
      </c>
      <c r="T78" s="2" t="s">
        <v>35</v>
      </c>
      <c r="U78" s="2" t="s">
        <v>396</v>
      </c>
    </row>
    <row r="79" customFormat="false" ht="27.75" hidden="false" customHeight="true" outlineLevel="0" collapsed="false">
      <c r="A79" s="6" t="s">
        <v>397</v>
      </c>
      <c r="B79" s="6" t="s">
        <v>48</v>
      </c>
      <c r="C79" s="6" t="s">
        <v>140</v>
      </c>
      <c r="D79" s="6"/>
      <c r="E79" s="6" t="s">
        <v>25</v>
      </c>
      <c r="F79" s="6"/>
      <c r="G79" s="6"/>
      <c r="H79" s="6" t="s">
        <v>25</v>
      </c>
      <c r="I79" s="6" t="s">
        <v>140</v>
      </c>
      <c r="J79" s="6" t="s">
        <v>51</v>
      </c>
      <c r="K79" s="6" t="s">
        <v>52</v>
      </c>
      <c r="L79" s="6" t="s">
        <v>53</v>
      </c>
      <c r="M79" s="6" t="s">
        <v>141</v>
      </c>
      <c r="N79" s="6" t="s">
        <v>398</v>
      </c>
      <c r="O79" s="6" t="s">
        <v>33</v>
      </c>
      <c r="P79" s="1" t="str">
        <f aca="false">IF(H79="Yes",IF(J79="MLS","Pro - MLS",IF(J79="MLS NEXT Pro","Pro - MLS NEXT Pro",IF(J79="USL Championship","Pro - USL Championship",IF(J79="USL League One","Pro - USL League One","Pro - Other")))),IF(H79="No",IF(K79="Amateur / Pre-Professional","Amateur / Pre-Professional","Returned to College"),"Unknown"))</f>
        <v>Returned to College</v>
      </c>
      <c r="Q79" s="1" t="str">
        <f aca="false">IF(E79="Yes","Yes","No")</f>
        <v>No</v>
      </c>
      <c r="R79" s="1" t="str">
        <f aca="false">IF(H79="Yes","Yes","No")</f>
        <v>No</v>
      </c>
      <c r="S79" s="2" t="s">
        <v>143</v>
      </c>
      <c r="T79" s="2" t="s">
        <v>35</v>
      </c>
      <c r="U79" s="2" t="s">
        <v>36</v>
      </c>
    </row>
    <row r="80" customFormat="false" ht="15" hidden="false" customHeight="true" outlineLevel="0" collapsed="false">
      <c r="A80" s="6" t="s">
        <v>399</v>
      </c>
      <c r="B80" s="6" t="s">
        <v>63</v>
      </c>
      <c r="C80" s="6" t="s">
        <v>400</v>
      </c>
      <c r="D80" s="6" t="s">
        <v>401</v>
      </c>
      <c r="E80" s="6" t="s">
        <v>25</v>
      </c>
      <c r="F80" s="6"/>
      <c r="G80" s="6"/>
      <c r="H80" s="6" t="s">
        <v>25</v>
      </c>
      <c r="I80" s="6" t="s">
        <v>81</v>
      </c>
      <c r="J80" s="6" t="s">
        <v>51</v>
      </c>
      <c r="K80" s="6" t="s">
        <v>52</v>
      </c>
      <c r="L80" s="6" t="s">
        <v>30</v>
      </c>
      <c r="M80" s="6" t="s">
        <v>225</v>
      </c>
      <c r="N80" s="6" t="s">
        <v>402</v>
      </c>
      <c r="O80" s="6" t="s">
        <v>33</v>
      </c>
      <c r="P80" s="1" t="str">
        <f aca="false">IF(H80="Yes",IF(J80="MLS","Pro - MLS",IF(J80="MLS NEXT Pro","Pro - MLS NEXT Pro",IF(J80="USL Championship","Pro - USL Championship",IF(J80="USL League One","Pro - USL League One","Pro - Other")))),IF(H80="No",IF(K80="Amateur / Pre-Professional","Amateur / Pre-Professional","Returned to College"),"Unknown"))</f>
        <v>Returned to College</v>
      </c>
      <c r="Q80" s="1" t="str">
        <f aca="false">IF(E80="Yes","Yes","No")</f>
        <v>No</v>
      </c>
      <c r="R80" s="1" t="str">
        <f aca="false">IF(H80="Yes","Yes","No")</f>
        <v>No</v>
      </c>
      <c r="S80" s="2" t="s">
        <v>403</v>
      </c>
      <c r="T80" s="2" t="s">
        <v>35</v>
      </c>
      <c r="U80" s="2" t="s">
        <v>36</v>
      </c>
    </row>
    <row r="81" customFormat="false" ht="15" hidden="false" customHeight="true" outlineLevel="0" collapsed="false">
      <c r="A81" s="6" t="s">
        <v>404</v>
      </c>
      <c r="B81" s="6" t="s">
        <v>63</v>
      </c>
      <c r="C81" s="6" t="s">
        <v>405</v>
      </c>
      <c r="D81" s="6"/>
      <c r="E81" s="6" t="s">
        <v>25</v>
      </c>
      <c r="F81" s="6"/>
      <c r="G81" s="6"/>
      <c r="H81" s="6" t="s">
        <v>25</v>
      </c>
      <c r="I81" s="6" t="s">
        <v>405</v>
      </c>
      <c r="J81" s="6" t="s">
        <v>51</v>
      </c>
      <c r="K81" s="6" t="s">
        <v>52</v>
      </c>
      <c r="L81" s="6" t="s">
        <v>83</v>
      </c>
      <c r="M81" s="6" t="s">
        <v>406</v>
      </c>
      <c r="N81" s="6" t="s">
        <v>407</v>
      </c>
      <c r="O81" s="6" t="s">
        <v>33</v>
      </c>
      <c r="P81" s="1" t="str">
        <f aca="false">IF(H81="Yes",IF(J81="MLS","Pro - MLS",IF(J81="MLS NEXT Pro","Pro - MLS NEXT Pro",IF(J81="USL Championship","Pro - USL Championship",IF(J81="USL League One","Pro - USL League One","Pro - Other")))),IF(H81="No",IF(K81="Amateur / Pre-Professional","Amateur / Pre-Professional","Returned to College"),"Unknown"))</f>
        <v>Returned to College</v>
      </c>
      <c r="Q81" s="1" t="str">
        <f aca="false">IF(E81="Yes","Yes","No")</f>
        <v>No</v>
      </c>
      <c r="R81" s="1" t="str">
        <f aca="false">IF(H81="Yes","Yes","No")</f>
        <v>No</v>
      </c>
      <c r="S81" s="2" t="s">
        <v>408</v>
      </c>
      <c r="T81" s="2" t="s">
        <v>35</v>
      </c>
      <c r="U81" s="2" t="s">
        <v>36</v>
      </c>
    </row>
    <row r="82" customFormat="false" ht="27.75" hidden="false" customHeight="true" outlineLevel="0" collapsed="false">
      <c r="A82" s="6" t="s">
        <v>409</v>
      </c>
      <c r="B82" s="6" t="s">
        <v>63</v>
      </c>
      <c r="C82" s="6" t="s">
        <v>410</v>
      </c>
      <c r="D82" s="6"/>
      <c r="E82" s="6" t="s">
        <v>26</v>
      </c>
      <c r="F82" s="6" t="n">
        <v>77</v>
      </c>
      <c r="G82" s="6" t="s">
        <v>411</v>
      </c>
      <c r="H82" s="6" t="s">
        <v>26</v>
      </c>
      <c r="I82" s="6" t="s">
        <v>412</v>
      </c>
      <c r="J82" s="6" t="s">
        <v>76</v>
      </c>
      <c r="K82" s="6" t="s">
        <v>29</v>
      </c>
      <c r="L82" s="6" t="s">
        <v>30</v>
      </c>
      <c r="M82" s="6" t="s">
        <v>133</v>
      </c>
      <c r="N82" s="6" t="s">
        <v>70</v>
      </c>
      <c r="O82" s="6" t="s">
        <v>71</v>
      </c>
      <c r="P82" s="1" t="str">
        <f aca="false">IF(H82="Yes",IF(J82="MLS","Pro - MLS",IF(J82="MLS NEXT Pro","Pro - MLS NEXT Pro",IF(J82="USL Championship","Pro - USL Championship",IF(J82="USL League One","Pro - USL League One","Pro - Other")))),IF(H82="No",IF(K82="Amateur / Pre-Professional","Amateur / Pre-Professional","Returned to College"),"Unknown"))</f>
        <v>Pro - MLS NEXT Pro</v>
      </c>
      <c r="Q82" s="1" t="str">
        <f aca="false">IF(E82="Yes","Yes","No")</f>
        <v>Yes</v>
      </c>
      <c r="R82" s="1" t="str">
        <f aca="false">IF(H82="Yes","Yes","No")</f>
        <v>Yes</v>
      </c>
      <c r="U82" s="2" t="s">
        <v>56</v>
      </c>
    </row>
    <row r="83" customFormat="false" ht="15" hidden="false" customHeight="true" outlineLevel="0" collapsed="false">
      <c r="A83" s="6" t="s">
        <v>413</v>
      </c>
      <c r="B83" s="6" t="s">
        <v>63</v>
      </c>
      <c r="C83" s="6" t="s">
        <v>414</v>
      </c>
      <c r="D83" s="6"/>
      <c r="E83" s="6" t="s">
        <v>25</v>
      </c>
      <c r="F83" s="6"/>
      <c r="G83" s="6"/>
      <c r="H83" s="6" t="s">
        <v>26</v>
      </c>
      <c r="I83" s="6" t="s">
        <v>415</v>
      </c>
      <c r="J83" s="6" t="s">
        <v>28</v>
      </c>
      <c r="K83" s="6" t="s">
        <v>29</v>
      </c>
      <c r="L83" s="6" t="s">
        <v>30</v>
      </c>
      <c r="M83" s="6" t="s">
        <v>416</v>
      </c>
      <c r="N83" s="6" t="s">
        <v>417</v>
      </c>
      <c r="O83" s="6" t="s">
        <v>33</v>
      </c>
      <c r="P83" s="1" t="str">
        <f aca="false">IF(H83="Yes",IF(J83="MLS","Pro - MLS",IF(J83="MLS NEXT Pro","Pro - MLS NEXT Pro",IF(J83="USL Championship","Pro - USL Championship",IF(J83="USL League One","Pro - USL League One","Pro - Other")))),IF(H83="No",IF(K83="Amateur / Pre-Professional","Amateur / Pre-Professional","Returned to College"),"Unknown"))</f>
        <v>Pro - USL League One</v>
      </c>
      <c r="Q83" s="1" t="str">
        <f aca="false">IF(E83="Yes","Yes","No")</f>
        <v>No</v>
      </c>
      <c r="R83" s="1" t="str">
        <f aca="false">IF(H83="Yes","Yes","No")</f>
        <v>Yes</v>
      </c>
      <c r="S83" s="2" t="s">
        <v>418</v>
      </c>
      <c r="T83" s="2" t="s">
        <v>35</v>
      </c>
      <c r="U83" s="2" t="s">
        <v>36</v>
      </c>
    </row>
    <row r="84" customFormat="false" ht="15" hidden="false" customHeight="true" outlineLevel="0" collapsed="false">
      <c r="A84" s="6" t="s">
        <v>419</v>
      </c>
      <c r="B84" s="6" t="s">
        <v>63</v>
      </c>
      <c r="C84" s="6" t="s">
        <v>420</v>
      </c>
      <c r="D84" s="6"/>
      <c r="E84" s="6" t="s">
        <v>25</v>
      </c>
      <c r="F84" s="6"/>
      <c r="G84" s="6"/>
      <c r="H84" s="6" t="s">
        <v>25</v>
      </c>
      <c r="I84" s="6" t="s">
        <v>420</v>
      </c>
      <c r="J84" s="6" t="s">
        <v>51</v>
      </c>
      <c r="K84" s="6" t="s">
        <v>52</v>
      </c>
      <c r="L84" s="6" t="s">
        <v>83</v>
      </c>
      <c r="M84" s="6" t="s">
        <v>421</v>
      </c>
      <c r="N84" s="6" t="s">
        <v>422</v>
      </c>
      <c r="O84" s="6" t="s">
        <v>33</v>
      </c>
      <c r="P84" s="1" t="str">
        <f aca="false">IF(H84="Yes",IF(J84="MLS","Pro - MLS",IF(J84="MLS NEXT Pro","Pro - MLS NEXT Pro",IF(J84="USL Championship","Pro - USL Championship",IF(J84="USL League One","Pro - USL League One","Pro - Other")))),IF(H84="No",IF(K84="Amateur / Pre-Professional","Amateur / Pre-Professional","Returned to College"),"Unknown"))</f>
        <v>Returned to College</v>
      </c>
      <c r="Q84" s="1" t="str">
        <f aca="false">IF(E84="Yes","Yes","No")</f>
        <v>No</v>
      </c>
      <c r="R84" s="1" t="str">
        <f aca="false">IF(H84="Yes","Yes","No")</f>
        <v>No</v>
      </c>
      <c r="S84" s="2" t="s">
        <v>423</v>
      </c>
      <c r="T84" s="2" t="s">
        <v>35</v>
      </c>
      <c r="U84" s="2" t="s">
        <v>36</v>
      </c>
    </row>
    <row r="85" customFormat="false" ht="27.75" hidden="false" customHeight="true" outlineLevel="0" collapsed="false">
      <c r="A85" s="6" t="s">
        <v>424</v>
      </c>
      <c r="B85" s="6" t="s">
        <v>48</v>
      </c>
      <c r="C85" s="6" t="s">
        <v>179</v>
      </c>
      <c r="D85" s="6" t="s">
        <v>82</v>
      </c>
      <c r="E85" s="6" t="s">
        <v>26</v>
      </c>
      <c r="F85" s="6" t="n">
        <v>19</v>
      </c>
      <c r="G85" s="6" t="s">
        <v>66</v>
      </c>
      <c r="H85" s="6" t="s">
        <v>25</v>
      </c>
      <c r="I85" s="6" t="s">
        <v>179</v>
      </c>
      <c r="J85" s="6" t="s">
        <v>51</v>
      </c>
      <c r="K85" s="6" t="s">
        <v>425</v>
      </c>
      <c r="L85" s="6" t="s">
        <v>83</v>
      </c>
      <c r="M85" s="6" t="s">
        <v>133</v>
      </c>
      <c r="N85" s="6" t="s">
        <v>70</v>
      </c>
      <c r="O85" s="6" t="s">
        <v>71</v>
      </c>
      <c r="P85" s="1" t="str">
        <f aca="false">IF(H85="Yes",IF(J85="MLS","Pro - MLS",IF(J85="MLS NEXT Pro","Pro - MLS NEXT Pro",IF(J85="USL Championship","Pro - USL Championship",IF(J85="USL League One","Pro - USL League One","Pro - Other")))),IF(H85="No",IF(K85="Amateur / Pre-Professional","Amateur / Pre-Professional","Returned to College"),"Unknown"))</f>
        <v>Returned to College</v>
      </c>
      <c r="Q85" s="1" t="str">
        <f aca="false">IF(E85="Yes","Yes","No")</f>
        <v>Yes</v>
      </c>
      <c r="R85" s="1" t="str">
        <f aca="false">IF(H85="Yes","Yes","No")</f>
        <v>No</v>
      </c>
      <c r="U85" s="2" t="s">
        <v>56</v>
      </c>
    </row>
    <row r="86" customFormat="false" ht="27.75" hidden="false" customHeight="true" outlineLevel="0" collapsed="false">
      <c r="A86" s="6" t="s">
        <v>426</v>
      </c>
      <c r="B86" s="6" t="s">
        <v>63</v>
      </c>
      <c r="C86" s="6" t="s">
        <v>140</v>
      </c>
      <c r="D86" s="6" t="s">
        <v>230</v>
      </c>
      <c r="E86" s="6" t="s">
        <v>25</v>
      </c>
      <c r="F86" s="6"/>
      <c r="G86" s="6"/>
      <c r="H86" s="6" t="s">
        <v>26</v>
      </c>
      <c r="I86" s="6" t="s">
        <v>427</v>
      </c>
      <c r="J86" s="6" t="s">
        <v>76</v>
      </c>
      <c r="K86" s="6" t="s">
        <v>29</v>
      </c>
      <c r="L86" s="6" t="s">
        <v>30</v>
      </c>
      <c r="M86" s="6" t="s">
        <v>428</v>
      </c>
      <c r="N86" s="6" t="s">
        <v>429</v>
      </c>
      <c r="O86" s="6" t="s">
        <v>33</v>
      </c>
      <c r="P86" s="1" t="str">
        <f aca="false">IF(H86="Yes",IF(J86="MLS","Pro - MLS",IF(J86="MLS NEXT Pro","Pro - MLS NEXT Pro",IF(J86="USL Championship","Pro - USL Championship",IF(J86="USL League One","Pro - USL League One","Pro - Other")))),IF(H86="No",IF(K86="Amateur / Pre-Professional","Amateur / Pre-Professional","Returned to College"),"Unknown"))</f>
        <v>Pro - MLS NEXT Pro</v>
      </c>
      <c r="Q86" s="1" t="str">
        <f aca="false">IF(E86="Yes","Yes","No")</f>
        <v>No</v>
      </c>
      <c r="R86" s="1" t="str">
        <f aca="false">IF(H86="Yes","Yes","No")</f>
        <v>Yes</v>
      </c>
      <c r="S86" s="2" t="s">
        <v>143</v>
      </c>
      <c r="T86" s="2" t="s">
        <v>35</v>
      </c>
      <c r="U86" s="2" t="s">
        <v>36</v>
      </c>
    </row>
    <row r="87" customFormat="false" ht="27.75" hidden="false" customHeight="true" outlineLevel="0" collapsed="false">
      <c r="A87" s="6" t="s">
        <v>430</v>
      </c>
      <c r="B87" s="6" t="s">
        <v>48</v>
      </c>
      <c r="C87" s="6" t="s">
        <v>214</v>
      </c>
      <c r="D87" s="6"/>
      <c r="E87" s="6" t="s">
        <v>26</v>
      </c>
      <c r="F87" s="6" t="n">
        <v>22</v>
      </c>
      <c r="G87" s="6" t="s">
        <v>50</v>
      </c>
      <c r="H87" s="6" t="s">
        <v>26</v>
      </c>
      <c r="I87" s="6" t="s">
        <v>50</v>
      </c>
      <c r="J87" s="6" t="s">
        <v>67</v>
      </c>
      <c r="K87" s="6" t="s">
        <v>29</v>
      </c>
      <c r="L87" s="6" t="s">
        <v>30</v>
      </c>
      <c r="M87" s="6" t="s">
        <v>69</v>
      </c>
      <c r="N87" s="6" t="s">
        <v>70</v>
      </c>
      <c r="O87" s="6" t="s">
        <v>71</v>
      </c>
      <c r="P87" s="1" t="str">
        <f aca="false">IF(H87="Yes",IF(J87="MLS","Pro - MLS",IF(J87="MLS NEXT Pro","Pro - MLS NEXT Pro",IF(J87="USL Championship","Pro - USL Championship",IF(J87="USL League One","Pro - USL League One","Pro - Other")))),IF(H87="No",IF(K87="Amateur / Pre-Professional","Amateur / Pre-Professional","Returned to College"),"Unknown"))</f>
        <v>Pro - MLS</v>
      </c>
      <c r="Q87" s="1" t="str">
        <f aca="false">IF(E87="Yes","Yes","No")</f>
        <v>Yes</v>
      </c>
      <c r="R87" s="1" t="str">
        <f aca="false">IF(H87="Yes","Yes","No")</f>
        <v>Yes</v>
      </c>
      <c r="U87" s="2" t="s">
        <v>56</v>
      </c>
    </row>
    <row r="88" customFormat="false" ht="15" hidden="false" customHeight="true" outlineLevel="0" collapsed="false">
      <c r="A88" s="6" t="s">
        <v>431</v>
      </c>
      <c r="B88" s="6" t="s">
        <v>48</v>
      </c>
      <c r="C88" s="6" t="s">
        <v>432</v>
      </c>
      <c r="D88" s="6"/>
      <c r="E88" s="6" t="s">
        <v>25</v>
      </c>
      <c r="F88" s="6"/>
      <c r="G88" s="6"/>
      <c r="H88" s="6"/>
      <c r="I88" s="6"/>
      <c r="J88" s="6"/>
      <c r="K88" s="6" t="s">
        <v>88</v>
      </c>
      <c r="L88" s="6" t="s">
        <v>30</v>
      </c>
      <c r="M88" s="6"/>
      <c r="N88" s="6"/>
      <c r="O88" s="6" t="s">
        <v>71</v>
      </c>
      <c r="P88" s="1" t="str">
        <f aca="false">IF(H88="Yes",IF(J88="MLS","Pro - MLS",IF(J88="MLS NEXT Pro","Pro - MLS NEXT Pro",IF(J88="USL Championship","Pro - USL Championship",IF(J88="USL League One","Pro - USL League One","Pro - Other")))),IF(H88="No",IF(K88="Amateur / Pre-Professional","Amateur / Pre-Professional","Returned to College"),"Unknown"))</f>
        <v>Unknown</v>
      </c>
      <c r="Q88" s="1" t="str">
        <f aca="false">IF(E88="Yes","Yes","No")</f>
        <v>No</v>
      </c>
      <c r="R88" s="1" t="str">
        <f aca="false">IF(H88="Yes","Yes","No")</f>
        <v>No</v>
      </c>
      <c r="S88" s="2" t="s">
        <v>433</v>
      </c>
      <c r="T88" s="2" t="s">
        <v>35</v>
      </c>
      <c r="U88" s="2" t="s">
        <v>36</v>
      </c>
    </row>
    <row r="89" customFormat="false" ht="15" hidden="false" customHeight="true" outlineLevel="0" collapsed="false">
      <c r="A89" s="6" t="s">
        <v>434</v>
      </c>
      <c r="B89" s="6" t="s">
        <v>63</v>
      </c>
      <c r="C89" s="6" t="s">
        <v>435</v>
      </c>
      <c r="D89" s="6"/>
      <c r="E89" s="6" t="s">
        <v>25</v>
      </c>
      <c r="F89" s="6"/>
      <c r="G89" s="6"/>
      <c r="H89" s="6"/>
      <c r="I89" s="6"/>
      <c r="J89" s="6"/>
      <c r="K89" s="6" t="s">
        <v>88</v>
      </c>
      <c r="L89" s="6" t="s">
        <v>436</v>
      </c>
      <c r="M89" s="6"/>
      <c r="N89" s="6"/>
      <c r="O89" s="6" t="s">
        <v>71</v>
      </c>
      <c r="P89" s="1" t="str">
        <f aca="false">IF(H89="Yes",IF(J89="MLS","Pro - MLS",IF(J89="MLS NEXT Pro","Pro - MLS NEXT Pro",IF(J89="USL Championship","Pro - USL Championship",IF(J89="USL League One","Pro - USL League One","Pro - Other")))),IF(H89="No",IF(K89="Amateur / Pre-Professional","Amateur / Pre-Professional","Returned to College"),"Unknown"))</f>
        <v>Unknown</v>
      </c>
      <c r="Q89" s="1" t="str">
        <f aca="false">IF(E89="Yes","Yes","No")</f>
        <v>No</v>
      </c>
      <c r="R89" s="1" t="str">
        <f aca="false">IF(H89="Yes","Yes","No")</f>
        <v>No</v>
      </c>
      <c r="T89" s="2" t="s">
        <v>437</v>
      </c>
      <c r="U89" s="2" t="s">
        <v>438</v>
      </c>
    </row>
    <row r="90" customFormat="false" ht="27.75" hidden="false" customHeight="true" outlineLevel="0" collapsed="false">
      <c r="A90" s="6" t="s">
        <v>439</v>
      </c>
      <c r="B90" s="6" t="s">
        <v>38</v>
      </c>
      <c r="C90" s="6" t="s">
        <v>440</v>
      </c>
      <c r="D90" s="6"/>
      <c r="E90" s="6" t="s">
        <v>26</v>
      </c>
      <c r="F90" s="6" t="n">
        <v>65</v>
      </c>
      <c r="G90" s="6" t="s">
        <v>130</v>
      </c>
      <c r="H90" s="6" t="s">
        <v>26</v>
      </c>
      <c r="I90" s="6" t="s">
        <v>441</v>
      </c>
      <c r="J90" s="6" t="s">
        <v>76</v>
      </c>
      <c r="K90" s="6" t="s">
        <v>29</v>
      </c>
      <c r="L90" s="6" t="s">
        <v>30</v>
      </c>
      <c r="M90" s="6" t="s">
        <v>133</v>
      </c>
      <c r="N90" s="6" t="s">
        <v>70</v>
      </c>
      <c r="O90" s="6" t="s">
        <v>71</v>
      </c>
      <c r="P90" s="1" t="str">
        <f aca="false">IF(H90="Yes",IF(J90="MLS","Pro - MLS",IF(J90="MLS NEXT Pro","Pro - MLS NEXT Pro",IF(J90="USL Championship","Pro - USL Championship",IF(J90="USL League One","Pro - USL League One","Pro - Other")))),IF(H90="No",IF(K90="Amateur / Pre-Professional","Amateur / Pre-Professional","Returned to College"),"Unknown"))</f>
        <v>Pro - MLS NEXT Pro</v>
      </c>
      <c r="Q90" s="1" t="str">
        <f aca="false">IF(E90="Yes","Yes","No")</f>
        <v>Yes</v>
      </c>
      <c r="R90" s="1" t="str">
        <f aca="false">IF(H90="Yes","Yes","No")</f>
        <v>Yes</v>
      </c>
      <c r="U90" s="2" t="s">
        <v>56</v>
      </c>
    </row>
    <row r="91" customFormat="false" ht="15" hidden="false" customHeight="true" outlineLevel="0" collapsed="false">
      <c r="A91" s="6" t="s">
        <v>442</v>
      </c>
      <c r="B91" s="6" t="s">
        <v>63</v>
      </c>
      <c r="C91" s="6" t="s">
        <v>305</v>
      </c>
      <c r="D91" s="6"/>
      <c r="E91" s="6" t="s">
        <v>25</v>
      </c>
      <c r="F91" s="6"/>
      <c r="G91" s="6"/>
      <c r="H91" s="6" t="s">
        <v>25</v>
      </c>
      <c r="I91" s="6" t="s">
        <v>305</v>
      </c>
      <c r="J91" s="6" t="s">
        <v>51</v>
      </c>
      <c r="K91" s="6" t="s">
        <v>52</v>
      </c>
      <c r="L91" s="6" t="s">
        <v>53</v>
      </c>
      <c r="M91" s="6" t="s">
        <v>443</v>
      </c>
      <c r="N91" s="6" t="s">
        <v>444</v>
      </c>
      <c r="O91" s="6" t="s">
        <v>33</v>
      </c>
      <c r="P91" s="1" t="str">
        <f aca="false">IF(H91="Yes",IF(J91="MLS","Pro - MLS",IF(J91="MLS NEXT Pro","Pro - MLS NEXT Pro",IF(J91="USL Championship","Pro - USL Championship",IF(J91="USL League One","Pro - USL League One","Pro - Other")))),IF(H91="No",IF(K91="Amateur / Pre-Professional","Amateur / Pre-Professional","Returned to College"),"Unknown"))</f>
        <v>Returned to College</v>
      </c>
      <c r="Q91" s="1" t="str">
        <f aca="false">IF(E91="Yes","Yes","No")</f>
        <v>No</v>
      </c>
      <c r="R91" s="1" t="str">
        <f aca="false">IF(H91="Yes","Yes","No")</f>
        <v>No</v>
      </c>
      <c r="S91" s="2" t="s">
        <v>307</v>
      </c>
      <c r="T91" s="2" t="s">
        <v>35</v>
      </c>
      <c r="U91" s="2" t="s">
        <v>36</v>
      </c>
    </row>
    <row r="92" customFormat="false" ht="15" hidden="false" customHeight="true" outlineLevel="0" collapsed="false">
      <c r="A92" s="6" t="s">
        <v>445</v>
      </c>
      <c r="B92" s="6" t="s">
        <v>48</v>
      </c>
      <c r="C92" s="6" t="s">
        <v>39</v>
      </c>
      <c r="D92" s="6" t="s">
        <v>387</v>
      </c>
      <c r="E92" s="6" t="s">
        <v>25</v>
      </c>
      <c r="F92" s="6"/>
      <c r="G92" s="6"/>
      <c r="H92" s="6"/>
      <c r="I92" s="6"/>
      <c r="J92" s="6"/>
      <c r="K92" s="6" t="s">
        <v>88</v>
      </c>
      <c r="L92" s="6" t="s">
        <v>436</v>
      </c>
      <c r="M92" s="6"/>
      <c r="N92" s="6"/>
      <c r="O92" s="6" t="s">
        <v>71</v>
      </c>
      <c r="P92" s="1" t="str">
        <f aca="false">IF(H92="Yes",IF(J92="MLS","Pro - MLS",IF(J92="MLS NEXT Pro","Pro - MLS NEXT Pro",IF(J92="USL Championship","Pro - USL Championship",IF(J92="USL League One","Pro - USL League One","Pro - Other")))),IF(H92="No",IF(K92="Amateur / Pre-Professional","Amateur / Pre-Professional","Returned to College"),"Unknown"))</f>
        <v>Unknown</v>
      </c>
      <c r="Q92" s="1" t="str">
        <f aca="false">IF(E92="Yes","Yes","No")</f>
        <v>No</v>
      </c>
      <c r="R92" s="1" t="str">
        <f aca="false">IF(H92="Yes","Yes","No")</f>
        <v>No</v>
      </c>
      <c r="T92" s="2" t="s">
        <v>437</v>
      </c>
      <c r="U92" s="2" t="s">
        <v>438</v>
      </c>
    </row>
    <row r="93" customFormat="false" ht="15" hidden="false" customHeight="true" outlineLevel="0" collapsed="false">
      <c r="A93" s="6" t="s">
        <v>446</v>
      </c>
      <c r="B93" s="6" t="s">
        <v>48</v>
      </c>
      <c r="C93" s="6" t="s">
        <v>447</v>
      </c>
      <c r="D93" s="6"/>
      <c r="E93" s="6" t="s">
        <v>25</v>
      </c>
      <c r="F93" s="6"/>
      <c r="G93" s="6"/>
      <c r="H93" s="6" t="s">
        <v>26</v>
      </c>
      <c r="I93" s="6" t="s">
        <v>448</v>
      </c>
      <c r="J93" s="6" t="s">
        <v>76</v>
      </c>
      <c r="K93" s="6" t="s">
        <v>29</v>
      </c>
      <c r="L93" s="6" t="s">
        <v>30</v>
      </c>
      <c r="M93" s="6" t="s">
        <v>449</v>
      </c>
      <c r="N93" s="6" t="s">
        <v>450</v>
      </c>
      <c r="O93" s="6" t="s">
        <v>33</v>
      </c>
      <c r="P93" s="1" t="str">
        <f aca="false">IF(H93="Yes",IF(J93="MLS","Pro - MLS",IF(J93="MLS NEXT Pro","Pro - MLS NEXT Pro",IF(J93="USL Championship","Pro - USL Championship",IF(J93="USL League One","Pro - USL League One","Pro - Other")))),IF(H93="No",IF(K93="Amateur / Pre-Professional","Amateur / Pre-Professional","Returned to College"),"Unknown"))</f>
        <v>Pro - MLS NEXT Pro</v>
      </c>
      <c r="Q93" s="1" t="str">
        <f aca="false">IF(E93="Yes","Yes","No")</f>
        <v>No</v>
      </c>
      <c r="R93" s="1" t="str">
        <f aca="false">IF(H93="Yes","Yes","No")</f>
        <v>Yes</v>
      </c>
      <c r="S93" s="2" t="s">
        <v>451</v>
      </c>
      <c r="T93" s="2" t="s">
        <v>35</v>
      </c>
      <c r="U93" s="2" t="s">
        <v>36</v>
      </c>
    </row>
    <row r="94" customFormat="false" ht="15" hidden="false" customHeight="true" outlineLevel="0" collapsed="false">
      <c r="A94" s="6" t="s">
        <v>452</v>
      </c>
      <c r="B94" s="6" t="s">
        <v>63</v>
      </c>
      <c r="C94" s="6" t="s">
        <v>386</v>
      </c>
      <c r="D94" s="6" t="s">
        <v>74</v>
      </c>
      <c r="E94" s="6" t="s">
        <v>25</v>
      </c>
      <c r="F94" s="6"/>
      <c r="G94" s="6"/>
      <c r="H94" s="6" t="s">
        <v>26</v>
      </c>
      <c r="I94" s="6" t="s">
        <v>453</v>
      </c>
      <c r="J94" s="6" t="s">
        <v>76</v>
      </c>
      <c r="K94" s="6" t="s">
        <v>29</v>
      </c>
      <c r="L94" s="6" t="s">
        <v>30</v>
      </c>
      <c r="M94" s="6" t="s">
        <v>454</v>
      </c>
      <c r="N94" s="6" t="s">
        <v>455</v>
      </c>
      <c r="O94" s="6" t="s">
        <v>33</v>
      </c>
      <c r="P94" s="1" t="str">
        <f aca="false">IF(H94="Yes",IF(J94="MLS","Pro - MLS",IF(J94="MLS NEXT Pro","Pro - MLS NEXT Pro",IF(J94="USL Championship","Pro - USL Championship",IF(J94="USL League One","Pro - USL League One","Pro - Other")))),IF(H94="No",IF(K94="Amateur / Pre-Professional","Amateur / Pre-Professional","Returned to College"),"Unknown"))</f>
        <v>Pro - MLS NEXT Pro</v>
      </c>
      <c r="Q94" s="1" t="str">
        <f aca="false">IF(E94="Yes","Yes","No")</f>
        <v>No</v>
      </c>
      <c r="R94" s="1" t="str">
        <f aca="false">IF(H94="Yes","Yes","No")</f>
        <v>Yes</v>
      </c>
      <c r="S94" s="2" t="s">
        <v>456</v>
      </c>
      <c r="T94" s="2" t="s">
        <v>35</v>
      </c>
      <c r="U94" s="2" t="s">
        <v>36</v>
      </c>
    </row>
    <row r="95" customFormat="false" ht="15" hidden="false" customHeight="true" outlineLevel="0" collapsed="false">
      <c r="A95" s="6" t="s">
        <v>457</v>
      </c>
      <c r="B95" s="6" t="s">
        <v>38</v>
      </c>
      <c r="C95" s="6" t="s">
        <v>309</v>
      </c>
      <c r="D95" s="6" t="s">
        <v>130</v>
      </c>
      <c r="E95" s="6" t="s">
        <v>25</v>
      </c>
      <c r="F95" s="6"/>
      <c r="G95" s="6"/>
      <c r="H95" s="6" t="s">
        <v>25</v>
      </c>
      <c r="I95" s="6" t="s">
        <v>309</v>
      </c>
      <c r="J95" s="6" t="s">
        <v>51</v>
      </c>
      <c r="K95" s="6" t="s">
        <v>52</v>
      </c>
      <c r="L95" s="6" t="s">
        <v>92</v>
      </c>
      <c r="M95" s="6" t="s">
        <v>458</v>
      </c>
      <c r="N95" s="6" t="s">
        <v>459</v>
      </c>
      <c r="O95" s="6" t="s">
        <v>33</v>
      </c>
      <c r="P95" s="1" t="str">
        <f aca="false">IF(H95="Yes",IF(J95="MLS","Pro - MLS",IF(J95="MLS NEXT Pro","Pro - MLS NEXT Pro",IF(J95="USL Championship","Pro - USL Championship",IF(J95="USL League One","Pro - USL League One","Pro - Other")))),IF(H95="No",IF(K95="Amateur / Pre-Professional","Amateur / Pre-Professional","Returned to College"),"Unknown"))</f>
        <v>Returned to College</v>
      </c>
      <c r="Q95" s="1" t="str">
        <f aca="false">IF(E95="Yes","Yes","No")</f>
        <v>No</v>
      </c>
      <c r="R95" s="1" t="str">
        <f aca="false">IF(H95="Yes","Yes","No")</f>
        <v>No</v>
      </c>
      <c r="S95" s="2" t="s">
        <v>310</v>
      </c>
      <c r="T95" s="2" t="s">
        <v>35</v>
      </c>
      <c r="U95" s="2" t="s">
        <v>36</v>
      </c>
    </row>
    <row r="96" customFormat="false" ht="27.75" hidden="false" customHeight="true" outlineLevel="0" collapsed="false">
      <c r="A96" s="6" t="s">
        <v>460</v>
      </c>
      <c r="B96" s="6" t="s">
        <v>22</v>
      </c>
      <c r="C96" s="6" t="s">
        <v>461</v>
      </c>
      <c r="D96" s="6"/>
      <c r="E96" s="6" t="s">
        <v>26</v>
      </c>
      <c r="F96" s="6" t="n">
        <v>64</v>
      </c>
      <c r="G96" s="6" t="s">
        <v>66</v>
      </c>
      <c r="H96" s="6" t="s">
        <v>131</v>
      </c>
      <c r="I96" s="6"/>
      <c r="J96" s="6"/>
      <c r="K96" s="6" t="s">
        <v>132</v>
      </c>
      <c r="L96" s="6" t="s">
        <v>53</v>
      </c>
      <c r="M96" s="6" t="s">
        <v>133</v>
      </c>
      <c r="N96" s="6" t="s">
        <v>134</v>
      </c>
      <c r="O96" s="6" t="s">
        <v>71</v>
      </c>
      <c r="P96" s="1" t="str">
        <f aca="false">IF(H96="Yes",IF(J96="MLS","Pro - MLS",IF(J96="MLS NEXT Pro","Pro - MLS NEXT Pro",IF(J96="USL Championship","Pro - USL Championship",IF(J96="USL League One","Pro - USL League One","Pro - Other")))),IF(H96="No",IF(K96="Amateur / Pre-Professional","Amateur / Pre-Professional","Returned to College"),"Unknown"))</f>
        <v>Unknown</v>
      </c>
      <c r="Q96" s="1" t="str">
        <f aca="false">IF(E96="Yes","Yes","No")</f>
        <v>Yes</v>
      </c>
      <c r="R96" s="1" t="str">
        <f aca="false">IF(H96="Yes","Yes","No")</f>
        <v>No</v>
      </c>
      <c r="U96" s="2" t="s">
        <v>56</v>
      </c>
    </row>
    <row r="97" customFormat="false" ht="15" hidden="false" customHeight="true" outlineLevel="0" collapsed="false">
      <c r="A97" s="6" t="s">
        <v>462</v>
      </c>
      <c r="B97" s="6" t="s">
        <v>22</v>
      </c>
      <c r="C97" s="6" t="s">
        <v>266</v>
      </c>
      <c r="D97" s="6"/>
      <c r="E97" s="6" t="s">
        <v>25</v>
      </c>
      <c r="F97" s="6"/>
      <c r="G97" s="6"/>
      <c r="H97" s="6"/>
      <c r="I97" s="6"/>
      <c r="J97" s="6"/>
      <c r="K97" s="6" t="s">
        <v>88</v>
      </c>
      <c r="L97" s="6" t="s">
        <v>53</v>
      </c>
      <c r="M97" s="6"/>
      <c r="N97" s="6"/>
      <c r="O97" s="6" t="s">
        <v>71</v>
      </c>
      <c r="P97" s="1" t="str">
        <f aca="false">IF(H97="Yes",IF(J97="MLS","Pro - MLS",IF(J97="MLS NEXT Pro","Pro - MLS NEXT Pro",IF(J97="USL Championship","Pro - USL Championship",IF(J97="USL League One","Pro - USL League One","Pro - Other")))),IF(H97="No",IF(K97="Amateur / Pre-Professional","Amateur / Pre-Professional","Returned to College"),"Unknown"))</f>
        <v>Unknown</v>
      </c>
      <c r="Q97" s="1" t="str">
        <f aca="false">IF(E97="Yes","Yes","No")</f>
        <v>No</v>
      </c>
      <c r="R97" s="1" t="str">
        <f aca="false">IF(H97="Yes","Yes","No")</f>
        <v>No</v>
      </c>
      <c r="S97" s="2" t="s">
        <v>463</v>
      </c>
      <c r="T97" s="2" t="s">
        <v>35</v>
      </c>
      <c r="U97" s="2" t="s">
        <v>36</v>
      </c>
    </row>
    <row r="98" customFormat="false" ht="27.75" hidden="false" customHeight="true" outlineLevel="0" collapsed="false">
      <c r="A98" s="6" t="s">
        <v>464</v>
      </c>
      <c r="B98" s="6" t="s">
        <v>63</v>
      </c>
      <c r="C98" s="6" t="s">
        <v>91</v>
      </c>
      <c r="D98" s="6"/>
      <c r="E98" s="6" t="s">
        <v>26</v>
      </c>
      <c r="F98" s="6" t="n">
        <v>51</v>
      </c>
      <c r="G98" s="6" t="s">
        <v>465</v>
      </c>
      <c r="H98" s="6" t="s">
        <v>26</v>
      </c>
      <c r="I98" s="6" t="s">
        <v>466</v>
      </c>
      <c r="J98" s="6" t="s">
        <v>76</v>
      </c>
      <c r="K98" s="6" t="s">
        <v>29</v>
      </c>
      <c r="L98" s="6" t="s">
        <v>83</v>
      </c>
      <c r="M98" s="6" t="s">
        <v>133</v>
      </c>
      <c r="N98" s="6" t="s">
        <v>70</v>
      </c>
      <c r="O98" s="6" t="s">
        <v>71</v>
      </c>
      <c r="P98" s="1" t="str">
        <f aca="false">IF(H98="Yes",IF(J98="MLS","Pro - MLS",IF(J98="MLS NEXT Pro","Pro - MLS NEXT Pro",IF(J98="USL Championship","Pro - USL Championship",IF(J98="USL League One","Pro - USL League One","Pro - Other")))),IF(H98="No",IF(K98="Amateur / Pre-Professional","Amateur / Pre-Professional","Returned to College"),"Unknown"))</f>
        <v>Pro - MLS NEXT Pro</v>
      </c>
      <c r="Q98" s="1" t="str">
        <f aca="false">IF(E98="Yes","Yes","No")</f>
        <v>Yes</v>
      </c>
      <c r="R98" s="1" t="str">
        <f aca="false">IF(H98="Yes","Yes","No")</f>
        <v>Yes</v>
      </c>
      <c r="U98" s="2" t="s">
        <v>56</v>
      </c>
    </row>
    <row r="99" customFormat="false" ht="15" hidden="false" customHeight="true" outlineLevel="0" collapsed="false">
      <c r="A99" s="6" t="s">
        <v>467</v>
      </c>
      <c r="B99" s="6" t="s">
        <v>38</v>
      </c>
      <c r="C99" s="6" t="s">
        <v>386</v>
      </c>
      <c r="D99" s="6" t="s">
        <v>387</v>
      </c>
      <c r="E99" s="6" t="s">
        <v>25</v>
      </c>
      <c r="F99" s="6"/>
      <c r="G99" s="6"/>
      <c r="H99" s="6" t="s">
        <v>26</v>
      </c>
      <c r="I99" s="6" t="s">
        <v>468</v>
      </c>
      <c r="J99" s="6" t="s">
        <v>361</v>
      </c>
      <c r="K99" s="6" t="s">
        <v>29</v>
      </c>
      <c r="L99" s="6" t="s">
        <v>30</v>
      </c>
      <c r="M99" s="6" t="s">
        <v>469</v>
      </c>
      <c r="N99" s="6" t="s">
        <v>470</v>
      </c>
      <c r="O99" s="6" t="s">
        <v>33</v>
      </c>
      <c r="P99" s="1" t="str">
        <f aca="false">IF(H99="Yes",IF(J99="MLS","Pro - MLS",IF(J99="MLS NEXT Pro","Pro - MLS NEXT Pro",IF(J99="USL Championship","Pro - USL Championship",IF(J99="USL League One","Pro - USL League One","Pro - Other")))),IF(H99="No",IF(K99="Amateur / Pre-Professional","Amateur / Pre-Professional","Returned to College"),"Unknown"))</f>
        <v>Pro - USL Championship</v>
      </c>
      <c r="Q99" s="1" t="str">
        <f aca="false">IF(E99="Yes","Yes","No")</f>
        <v>No</v>
      </c>
      <c r="R99" s="1" t="str">
        <f aca="false">IF(H99="Yes","Yes","No")</f>
        <v>Yes</v>
      </c>
      <c r="S99" s="2" t="s">
        <v>456</v>
      </c>
      <c r="T99" s="2" t="s">
        <v>35</v>
      </c>
      <c r="U99" s="2" t="s">
        <v>36</v>
      </c>
    </row>
    <row r="100" customFormat="false" ht="15" hidden="false" customHeight="true" outlineLevel="0" collapsed="false">
      <c r="A100" s="6" t="s">
        <v>471</v>
      </c>
      <c r="B100" s="6" t="s">
        <v>48</v>
      </c>
      <c r="C100" s="6" t="s">
        <v>410</v>
      </c>
      <c r="D100" s="6" t="s">
        <v>472</v>
      </c>
      <c r="E100" s="6" t="s">
        <v>25</v>
      </c>
      <c r="F100" s="6"/>
      <c r="G100" s="6"/>
      <c r="H100" s="6" t="s">
        <v>25</v>
      </c>
      <c r="I100" s="6" t="s">
        <v>410</v>
      </c>
      <c r="J100" s="6" t="s">
        <v>51</v>
      </c>
      <c r="K100" s="6" t="s">
        <v>52</v>
      </c>
      <c r="L100" s="6" t="s">
        <v>83</v>
      </c>
      <c r="M100" s="6" t="s">
        <v>473</v>
      </c>
      <c r="N100" s="6" t="s">
        <v>474</v>
      </c>
      <c r="O100" s="6" t="s">
        <v>33</v>
      </c>
      <c r="P100" s="1" t="str">
        <f aca="false">IF(H100="Yes",IF(J100="MLS","Pro - MLS",IF(J100="MLS NEXT Pro","Pro - MLS NEXT Pro",IF(J100="USL Championship","Pro - USL Championship",IF(J100="USL League One","Pro - USL League One","Pro - Other")))),IF(H100="No",IF(K100="Amateur / Pre-Professional","Amateur / Pre-Professional","Returned to College"),"Unknown"))</f>
        <v>Returned to College</v>
      </c>
      <c r="Q100" s="1" t="str">
        <f aca="false">IF(E100="Yes","Yes","No")</f>
        <v>No</v>
      </c>
      <c r="R100" s="1" t="str">
        <f aca="false">IF(H100="Yes","Yes","No")</f>
        <v>No</v>
      </c>
      <c r="S100" s="2" t="s">
        <v>475</v>
      </c>
      <c r="T100" s="2" t="s">
        <v>35</v>
      </c>
      <c r="U100" s="2" t="s">
        <v>36</v>
      </c>
    </row>
    <row r="101" customFormat="false" ht="27.75" hidden="false" customHeight="true" outlineLevel="0" collapsed="false">
      <c r="A101" s="6" t="s">
        <v>476</v>
      </c>
      <c r="B101" s="6" t="s">
        <v>48</v>
      </c>
      <c r="C101" s="6" t="s">
        <v>477</v>
      </c>
      <c r="D101" s="6"/>
      <c r="E101" s="6" t="s">
        <v>26</v>
      </c>
      <c r="F101" s="6" t="n">
        <v>86</v>
      </c>
      <c r="G101" s="6" t="s">
        <v>210</v>
      </c>
      <c r="H101" s="6" t="s">
        <v>26</v>
      </c>
      <c r="I101" s="6" t="s">
        <v>290</v>
      </c>
      <c r="J101" s="6" t="s">
        <v>76</v>
      </c>
      <c r="K101" s="6" t="s">
        <v>29</v>
      </c>
      <c r="L101" s="6" t="s">
        <v>83</v>
      </c>
      <c r="M101" s="6" t="s">
        <v>133</v>
      </c>
      <c r="N101" s="6" t="s">
        <v>70</v>
      </c>
      <c r="O101" s="6" t="s">
        <v>71</v>
      </c>
      <c r="P101" s="1" t="str">
        <f aca="false">IF(H101="Yes",IF(J101="MLS","Pro - MLS",IF(J101="MLS NEXT Pro","Pro - MLS NEXT Pro",IF(J101="USL Championship","Pro - USL Championship",IF(J101="USL League One","Pro - USL League One","Pro - Other")))),IF(H101="No",IF(K101="Amateur / Pre-Professional","Amateur / Pre-Professional","Returned to College"),"Unknown"))</f>
        <v>Pro - MLS NEXT Pro</v>
      </c>
      <c r="Q101" s="1" t="str">
        <f aca="false">IF(E101="Yes","Yes","No")</f>
        <v>Yes</v>
      </c>
      <c r="R101" s="1" t="str">
        <f aca="false">IF(H101="Yes","Yes","No")</f>
        <v>Yes</v>
      </c>
      <c r="U101" s="2" t="s">
        <v>56</v>
      </c>
    </row>
    <row r="102" customFormat="false" ht="15" hidden="false" customHeight="true" outlineLevel="0" collapsed="false">
      <c r="A102" s="6" t="s">
        <v>478</v>
      </c>
      <c r="B102" s="6" t="s">
        <v>48</v>
      </c>
      <c r="C102" s="6" t="s">
        <v>322</v>
      </c>
      <c r="D102" s="6"/>
      <c r="E102" s="6" t="s">
        <v>25</v>
      </c>
      <c r="F102" s="6"/>
      <c r="G102" s="6"/>
      <c r="H102" s="6" t="s">
        <v>26</v>
      </c>
      <c r="I102" s="6" t="s">
        <v>219</v>
      </c>
      <c r="J102" s="6" t="s">
        <v>76</v>
      </c>
      <c r="K102" s="6" t="s">
        <v>29</v>
      </c>
      <c r="L102" s="6" t="s">
        <v>30</v>
      </c>
      <c r="M102" s="6" t="s">
        <v>479</v>
      </c>
      <c r="N102" s="6" t="s">
        <v>480</v>
      </c>
      <c r="O102" s="6" t="s">
        <v>33</v>
      </c>
      <c r="P102" s="1" t="str">
        <f aca="false">IF(H102="Yes",IF(J102="MLS","Pro - MLS",IF(J102="MLS NEXT Pro","Pro - MLS NEXT Pro",IF(J102="USL Championship","Pro - USL Championship",IF(J102="USL League One","Pro - USL League One","Pro - Other")))),IF(H102="No",IF(K102="Amateur / Pre-Professional","Amateur / Pre-Professional","Returned to College"),"Unknown"))</f>
        <v>Pro - MLS NEXT Pro</v>
      </c>
      <c r="Q102" s="1" t="str">
        <f aca="false">IF(E102="Yes","Yes","No")</f>
        <v>No</v>
      </c>
      <c r="R102" s="1" t="str">
        <f aca="false">IF(H102="Yes","Yes","No")</f>
        <v>Yes</v>
      </c>
      <c r="S102" s="2" t="s">
        <v>481</v>
      </c>
      <c r="T102" s="2" t="s">
        <v>35</v>
      </c>
      <c r="U102" s="2" t="s">
        <v>36</v>
      </c>
    </row>
    <row r="103" customFormat="false" ht="27.75" hidden="false" customHeight="true" outlineLevel="0" collapsed="false">
      <c r="A103" s="6" t="s">
        <v>482</v>
      </c>
      <c r="B103" s="6" t="s">
        <v>63</v>
      </c>
      <c r="C103" s="6" t="s">
        <v>277</v>
      </c>
      <c r="D103" s="6"/>
      <c r="E103" s="6" t="s">
        <v>25</v>
      </c>
      <c r="F103" s="6"/>
      <c r="G103" s="6"/>
      <c r="H103" s="6"/>
      <c r="I103" s="6"/>
      <c r="J103" s="6"/>
      <c r="K103" s="6" t="s">
        <v>88</v>
      </c>
      <c r="L103" s="6" t="s">
        <v>53</v>
      </c>
      <c r="M103" s="6"/>
      <c r="N103" s="6"/>
      <c r="O103" s="6" t="s">
        <v>71</v>
      </c>
      <c r="P103" s="1" t="str">
        <f aca="false">IF(H103="Yes",IF(J103="MLS","Pro - MLS",IF(J103="MLS NEXT Pro","Pro - MLS NEXT Pro",IF(J103="USL Championship","Pro - USL Championship",IF(J103="USL League One","Pro - USL League One","Pro - Other")))),IF(H103="No",IF(K103="Amateur / Pre-Professional","Amateur / Pre-Professional","Returned to College"),"Unknown"))</f>
        <v>Unknown</v>
      </c>
      <c r="Q103" s="1" t="str">
        <f aca="false">IF(E103="Yes","Yes","No")</f>
        <v>No</v>
      </c>
      <c r="R103" s="1" t="str">
        <f aca="false">IF(H103="Yes","Yes","No")</f>
        <v>No</v>
      </c>
      <c r="S103" s="2" t="s">
        <v>483</v>
      </c>
      <c r="T103" s="2" t="s">
        <v>35</v>
      </c>
      <c r="U103" s="2" t="s">
        <v>36</v>
      </c>
    </row>
    <row r="104" customFormat="false" ht="15" hidden="false" customHeight="true" outlineLevel="0" collapsed="false">
      <c r="A104" s="6" t="s">
        <v>484</v>
      </c>
      <c r="B104" s="6" t="s">
        <v>38</v>
      </c>
      <c r="C104" s="6" t="s">
        <v>485</v>
      </c>
      <c r="D104" s="6"/>
      <c r="E104" s="6" t="s">
        <v>25</v>
      </c>
      <c r="F104" s="6"/>
      <c r="G104" s="6"/>
      <c r="H104" s="6"/>
      <c r="I104" s="6"/>
      <c r="J104" s="6"/>
      <c r="K104" s="6" t="s">
        <v>88</v>
      </c>
      <c r="L104" s="6" t="s">
        <v>43</v>
      </c>
      <c r="M104" s="6"/>
      <c r="N104" s="6"/>
      <c r="O104" s="6" t="s">
        <v>71</v>
      </c>
      <c r="P104" s="1" t="str">
        <f aca="false">IF(H104="Yes",IF(J104="MLS","Pro - MLS",IF(J104="MLS NEXT Pro","Pro - MLS NEXT Pro",IF(J104="USL Championship","Pro - USL Championship",IF(J104="USL League One","Pro - USL League One","Pro - Other")))),IF(H104="No",IF(K104="Amateur / Pre-Professional","Amateur / Pre-Professional","Returned to College"),"Unknown"))</f>
        <v>Unknown</v>
      </c>
      <c r="Q104" s="1" t="str">
        <f aca="false">IF(E104="Yes","Yes","No")</f>
        <v>No</v>
      </c>
      <c r="R104" s="1" t="str">
        <f aca="false">IF(H104="Yes","Yes","No")</f>
        <v>No</v>
      </c>
      <c r="S104" s="2" t="s">
        <v>486</v>
      </c>
      <c r="T104" s="2" t="s">
        <v>35</v>
      </c>
      <c r="U104" s="2" t="s">
        <v>36</v>
      </c>
    </row>
    <row r="105" customFormat="false" ht="15" hidden="false" customHeight="true" outlineLevel="0" collapsed="false">
      <c r="A105" s="6" t="s">
        <v>487</v>
      </c>
      <c r="B105" s="6" t="s">
        <v>48</v>
      </c>
      <c r="C105" s="6" t="s">
        <v>250</v>
      </c>
      <c r="D105" s="6"/>
      <c r="E105" s="6" t="s">
        <v>25</v>
      </c>
      <c r="F105" s="6"/>
      <c r="G105" s="6"/>
      <c r="H105" s="6" t="s">
        <v>26</v>
      </c>
      <c r="I105" s="6" t="s">
        <v>488</v>
      </c>
      <c r="J105" s="6" t="s">
        <v>361</v>
      </c>
      <c r="K105" s="6" t="s">
        <v>29</v>
      </c>
      <c r="L105" s="6" t="s">
        <v>43</v>
      </c>
      <c r="M105" s="6" t="s">
        <v>489</v>
      </c>
      <c r="N105" s="6" t="s">
        <v>490</v>
      </c>
      <c r="O105" s="6" t="s">
        <v>33</v>
      </c>
      <c r="P105" s="1" t="str">
        <f aca="false">IF(H105="Yes",IF(J105="MLS","Pro - MLS",IF(J105="MLS NEXT Pro","Pro - MLS NEXT Pro",IF(J105="USL Championship","Pro - USL Championship",IF(J105="USL League One","Pro - USL League One","Pro - Other")))),IF(H105="No",IF(K105="Amateur / Pre-Professional","Amateur / Pre-Professional","Returned to College"),"Unknown"))</f>
        <v>Pro - USL Championship</v>
      </c>
      <c r="Q105" s="1" t="str">
        <f aca="false">IF(E105="Yes","Yes","No")</f>
        <v>No</v>
      </c>
      <c r="R105" s="1" t="str">
        <f aca="false">IF(H105="Yes","Yes","No")</f>
        <v>Yes</v>
      </c>
      <c r="S105" s="2" t="s">
        <v>491</v>
      </c>
      <c r="T105" s="2" t="s">
        <v>35</v>
      </c>
      <c r="U105" s="2" t="s">
        <v>492</v>
      </c>
    </row>
    <row r="106" customFormat="false" ht="15" hidden="false" customHeight="true" outlineLevel="0" collapsed="false">
      <c r="A106" s="6" t="s">
        <v>493</v>
      </c>
      <c r="B106" s="6" t="s">
        <v>22</v>
      </c>
      <c r="C106" s="6" t="s">
        <v>494</v>
      </c>
      <c r="D106" s="6"/>
      <c r="E106" s="6" t="s">
        <v>25</v>
      </c>
      <c r="F106" s="6"/>
      <c r="G106" s="6"/>
      <c r="H106" s="6" t="s">
        <v>25</v>
      </c>
      <c r="I106" s="6" t="s">
        <v>494</v>
      </c>
      <c r="J106" s="6" t="s">
        <v>51</v>
      </c>
      <c r="K106" s="6" t="s">
        <v>52</v>
      </c>
      <c r="L106" s="6" t="s">
        <v>43</v>
      </c>
      <c r="M106" s="6" t="s">
        <v>495</v>
      </c>
      <c r="N106" s="6" t="s">
        <v>496</v>
      </c>
      <c r="O106" s="6" t="s">
        <v>33</v>
      </c>
      <c r="P106" s="1" t="str">
        <f aca="false">IF(H106="Yes",IF(J106="MLS","Pro - MLS",IF(J106="MLS NEXT Pro","Pro - MLS NEXT Pro",IF(J106="USL Championship","Pro - USL Championship",IF(J106="USL League One","Pro - USL League One","Pro - Other")))),IF(H106="No",IF(K106="Amateur / Pre-Professional","Amateur / Pre-Professional","Returned to College"),"Unknown"))</f>
        <v>Returned to College</v>
      </c>
      <c r="Q106" s="1" t="str">
        <f aca="false">IF(E106="Yes","Yes","No")</f>
        <v>No</v>
      </c>
      <c r="R106" s="1" t="str">
        <f aca="false">IF(H106="Yes","Yes","No")</f>
        <v>No</v>
      </c>
      <c r="S106" s="2" t="s">
        <v>497</v>
      </c>
      <c r="T106" s="2" t="s">
        <v>35</v>
      </c>
      <c r="U106" s="2" t="s">
        <v>36</v>
      </c>
    </row>
    <row r="107" customFormat="false" ht="15" hidden="false" customHeight="true" outlineLevel="0" collapsed="false">
      <c r="A107" s="6" t="s">
        <v>498</v>
      </c>
      <c r="B107" s="6" t="s">
        <v>48</v>
      </c>
      <c r="C107" s="6" t="s">
        <v>23</v>
      </c>
      <c r="D107" s="6" t="s">
        <v>499</v>
      </c>
      <c r="E107" s="6" t="s">
        <v>25</v>
      </c>
      <c r="F107" s="6"/>
      <c r="G107" s="6"/>
      <c r="H107" s="6" t="s">
        <v>26</v>
      </c>
      <c r="I107" s="6" t="s">
        <v>372</v>
      </c>
      <c r="J107" s="6" t="s">
        <v>28</v>
      </c>
      <c r="K107" s="6" t="s">
        <v>29</v>
      </c>
      <c r="L107" s="6" t="s">
        <v>43</v>
      </c>
      <c r="M107" s="6" t="s">
        <v>500</v>
      </c>
      <c r="N107" s="6" t="s">
        <v>501</v>
      </c>
      <c r="O107" s="6" t="s">
        <v>33</v>
      </c>
      <c r="P107" s="1" t="str">
        <f aca="false">IF(H107="Yes",IF(J107="MLS","Pro - MLS",IF(J107="MLS NEXT Pro","Pro - MLS NEXT Pro",IF(J107="USL Championship","Pro - USL Championship",IF(J107="USL League One","Pro - USL League One","Pro - Other")))),IF(H107="No",IF(K107="Amateur / Pre-Professional","Amateur / Pre-Professional","Returned to College"),"Unknown"))</f>
        <v>Pro - USL League One</v>
      </c>
      <c r="Q107" s="1" t="str">
        <f aca="false">IF(E107="Yes","Yes","No")</f>
        <v>No</v>
      </c>
      <c r="R107" s="1" t="str">
        <f aca="false">IF(H107="Yes","Yes","No")</f>
        <v>Yes</v>
      </c>
      <c r="S107" s="2" t="s">
        <v>502</v>
      </c>
      <c r="T107" s="2" t="s">
        <v>35</v>
      </c>
      <c r="U107" s="2" t="s">
        <v>36</v>
      </c>
    </row>
    <row r="108" customFormat="false" ht="15" hidden="false" customHeight="true" outlineLevel="0" collapsed="false">
      <c r="A108" s="6" t="s">
        <v>503</v>
      </c>
      <c r="B108" s="6" t="s">
        <v>48</v>
      </c>
      <c r="C108" s="6" t="s">
        <v>504</v>
      </c>
      <c r="D108" s="6"/>
      <c r="E108" s="6" t="s">
        <v>25</v>
      </c>
      <c r="F108" s="6"/>
      <c r="G108" s="6"/>
      <c r="H108" s="6"/>
      <c r="I108" s="6"/>
      <c r="J108" s="6"/>
      <c r="K108" s="6" t="s">
        <v>88</v>
      </c>
      <c r="L108" s="6" t="s">
        <v>505</v>
      </c>
      <c r="M108" s="6"/>
      <c r="N108" s="6"/>
      <c r="O108" s="6" t="s">
        <v>71</v>
      </c>
      <c r="P108" s="1" t="str">
        <f aca="false">IF(H108="Yes",IF(J108="MLS","Pro - MLS",IF(J108="MLS NEXT Pro","Pro - MLS NEXT Pro",IF(J108="USL Championship","Pro - USL Championship",IF(J108="USL League One","Pro - USL League One","Pro - Other")))),IF(H108="No",IF(K108="Amateur / Pre-Professional","Amateur / Pre-Professional","Returned to College"),"Unknown"))</f>
        <v>Unknown</v>
      </c>
      <c r="Q108" s="1" t="str">
        <f aca="false">IF(E108="Yes","Yes","No")</f>
        <v>No</v>
      </c>
      <c r="R108" s="1" t="str">
        <f aca="false">IF(H108="Yes","Yes","No")</f>
        <v>No</v>
      </c>
      <c r="S108" s="2" t="s">
        <v>506</v>
      </c>
      <c r="T108" s="2" t="s">
        <v>35</v>
      </c>
      <c r="U108" s="2" t="s">
        <v>507</v>
      </c>
    </row>
    <row r="109" customFormat="false" ht="15" hidden="false" customHeight="true" outlineLevel="0" collapsed="false">
      <c r="A109" s="6" t="s">
        <v>508</v>
      </c>
      <c r="B109" s="6" t="s">
        <v>48</v>
      </c>
      <c r="C109" s="6" t="s">
        <v>159</v>
      </c>
      <c r="D109" s="6"/>
      <c r="E109" s="6" t="s">
        <v>25</v>
      </c>
      <c r="F109" s="6"/>
      <c r="G109" s="6"/>
      <c r="H109" s="6" t="s">
        <v>25</v>
      </c>
      <c r="I109" s="6" t="s">
        <v>159</v>
      </c>
      <c r="J109" s="6" t="s">
        <v>51</v>
      </c>
      <c r="K109" s="6" t="s">
        <v>52</v>
      </c>
      <c r="L109" s="6" t="s">
        <v>53</v>
      </c>
      <c r="M109" s="6" t="s">
        <v>509</v>
      </c>
      <c r="N109" s="6" t="s">
        <v>510</v>
      </c>
      <c r="O109" s="6" t="s">
        <v>33</v>
      </c>
      <c r="P109" s="1" t="str">
        <f aca="false">IF(H109="Yes",IF(J109="MLS","Pro - MLS",IF(J109="MLS NEXT Pro","Pro - MLS NEXT Pro",IF(J109="USL Championship","Pro - USL Championship",IF(J109="USL League One","Pro - USL League One","Pro - Other")))),IF(H109="No",IF(K109="Amateur / Pre-Professional","Amateur / Pre-Professional","Returned to College"),"Unknown"))</f>
        <v>Returned to College</v>
      </c>
      <c r="Q109" s="1" t="str">
        <f aca="false">IF(E109="Yes","Yes","No")</f>
        <v>No</v>
      </c>
      <c r="R109" s="1" t="str">
        <f aca="false">IF(H109="Yes","Yes","No")</f>
        <v>No</v>
      </c>
      <c r="S109" s="2" t="s">
        <v>161</v>
      </c>
      <c r="T109" s="2" t="s">
        <v>35</v>
      </c>
      <c r="U109" s="2" t="s">
        <v>36</v>
      </c>
    </row>
    <row r="110" customFormat="false" ht="15" hidden="false" customHeight="true" outlineLevel="0" collapsed="false">
      <c r="A110" s="6" t="s">
        <v>511</v>
      </c>
      <c r="B110" s="6" t="s">
        <v>48</v>
      </c>
      <c r="C110" s="6" t="s">
        <v>432</v>
      </c>
      <c r="D110" s="6"/>
      <c r="E110" s="6" t="s">
        <v>25</v>
      </c>
      <c r="F110" s="6"/>
      <c r="G110" s="6"/>
      <c r="H110" s="6"/>
      <c r="I110" s="6"/>
      <c r="J110" s="6"/>
      <c r="K110" s="6" t="s">
        <v>88</v>
      </c>
      <c r="L110" s="6" t="s">
        <v>30</v>
      </c>
      <c r="M110" s="6"/>
      <c r="N110" s="6"/>
      <c r="O110" s="6" t="s">
        <v>71</v>
      </c>
      <c r="P110" s="1" t="str">
        <f aca="false">IF(H110="Yes",IF(J110="MLS","Pro - MLS",IF(J110="MLS NEXT Pro","Pro - MLS NEXT Pro",IF(J110="USL Championship","Pro - USL Championship",IF(J110="USL League One","Pro - USL League One","Pro - Other")))),IF(H110="No",IF(K110="Amateur / Pre-Professional","Amateur / Pre-Professional","Returned to College"),"Unknown"))</f>
        <v>Unknown</v>
      </c>
      <c r="Q110" s="1" t="str">
        <f aca="false">IF(E110="Yes","Yes","No")</f>
        <v>No</v>
      </c>
      <c r="R110" s="1" t="str">
        <f aca="false">IF(H110="Yes","Yes","No")</f>
        <v>No</v>
      </c>
      <c r="S110" s="2" t="s">
        <v>512</v>
      </c>
      <c r="T110" s="2" t="s">
        <v>35</v>
      </c>
      <c r="U110" s="2" t="s">
        <v>36</v>
      </c>
    </row>
    <row r="111" customFormat="false" ht="15" hidden="false" customHeight="true" outlineLevel="0" collapsed="false">
      <c r="A111" s="6" t="s">
        <v>513</v>
      </c>
      <c r="B111" s="6" t="s">
        <v>63</v>
      </c>
      <c r="C111" s="6" t="s">
        <v>514</v>
      </c>
      <c r="D111" s="6"/>
      <c r="E111" s="6" t="s">
        <v>25</v>
      </c>
      <c r="F111" s="6"/>
      <c r="G111" s="6"/>
      <c r="H111" s="6" t="s">
        <v>26</v>
      </c>
      <c r="I111" s="6" t="s">
        <v>515</v>
      </c>
      <c r="J111" s="6" t="s">
        <v>76</v>
      </c>
      <c r="K111" s="6" t="s">
        <v>29</v>
      </c>
      <c r="L111" s="6" t="s">
        <v>30</v>
      </c>
      <c r="M111" s="6" t="s">
        <v>516</v>
      </c>
      <c r="N111" s="6" t="s">
        <v>517</v>
      </c>
      <c r="O111" s="6" t="s">
        <v>33</v>
      </c>
      <c r="P111" s="1" t="str">
        <f aca="false">IF(H111="Yes",IF(J111="MLS","Pro - MLS",IF(J111="MLS NEXT Pro","Pro - MLS NEXT Pro",IF(J111="USL Championship","Pro - USL Championship",IF(J111="USL League One","Pro - USL League One","Pro - Other")))),IF(H111="No",IF(K111="Amateur / Pre-Professional","Amateur / Pre-Professional","Returned to College"),"Unknown"))</f>
        <v>Pro - MLS NEXT Pro</v>
      </c>
      <c r="Q111" s="1" t="str">
        <f aca="false">IF(E111="Yes","Yes","No")</f>
        <v>No</v>
      </c>
      <c r="R111" s="1" t="str">
        <f aca="false">IF(H111="Yes","Yes","No")</f>
        <v>Yes</v>
      </c>
      <c r="S111" s="2" t="s">
        <v>518</v>
      </c>
      <c r="T111" s="2" t="s">
        <v>35</v>
      </c>
      <c r="U111" s="2" t="s">
        <v>36</v>
      </c>
    </row>
    <row r="112" customFormat="false" ht="27.75" hidden="false" customHeight="true" outlineLevel="0" collapsed="false">
      <c r="A112" s="6" t="s">
        <v>519</v>
      </c>
      <c r="B112" s="6" t="s">
        <v>22</v>
      </c>
      <c r="C112" s="6" t="s">
        <v>58</v>
      </c>
      <c r="D112" s="6"/>
      <c r="E112" s="6" t="s">
        <v>26</v>
      </c>
      <c r="F112" s="6" t="n">
        <v>47</v>
      </c>
      <c r="G112" s="6" t="s">
        <v>411</v>
      </c>
      <c r="H112" s="6" t="s">
        <v>26</v>
      </c>
      <c r="I112" s="6" t="s">
        <v>412</v>
      </c>
      <c r="J112" s="6" t="s">
        <v>76</v>
      </c>
      <c r="K112" s="6" t="s">
        <v>29</v>
      </c>
      <c r="L112" s="6" t="s">
        <v>30</v>
      </c>
      <c r="M112" s="6" t="s">
        <v>133</v>
      </c>
      <c r="N112" s="6" t="s">
        <v>70</v>
      </c>
      <c r="O112" s="6" t="s">
        <v>71</v>
      </c>
      <c r="P112" s="1" t="str">
        <f aca="false">IF(H112="Yes",IF(J112="MLS","Pro - MLS",IF(J112="MLS NEXT Pro","Pro - MLS NEXT Pro",IF(J112="USL Championship","Pro - USL Championship",IF(J112="USL League One","Pro - USL League One","Pro - Other")))),IF(H112="No",IF(K112="Amateur / Pre-Professional","Amateur / Pre-Professional","Returned to College"),"Unknown"))</f>
        <v>Pro - MLS NEXT Pro</v>
      </c>
      <c r="Q112" s="1" t="str">
        <f aca="false">IF(E112="Yes","Yes","No")</f>
        <v>Yes</v>
      </c>
      <c r="R112" s="1" t="str">
        <f aca="false">IF(H112="Yes","Yes","No")</f>
        <v>Yes</v>
      </c>
      <c r="U112" s="2" t="s">
        <v>56</v>
      </c>
    </row>
    <row r="113" customFormat="false" ht="15" hidden="false" customHeight="true" outlineLevel="0" collapsed="false">
      <c r="A113" s="6" t="s">
        <v>520</v>
      </c>
      <c r="B113" s="6" t="s">
        <v>48</v>
      </c>
      <c r="C113" s="6" t="s">
        <v>159</v>
      </c>
      <c r="D113" s="6" t="s">
        <v>521</v>
      </c>
      <c r="E113" s="6" t="s">
        <v>25</v>
      </c>
      <c r="F113" s="6"/>
      <c r="G113" s="6"/>
      <c r="H113" s="6" t="s">
        <v>26</v>
      </c>
      <c r="I113" s="6" t="s">
        <v>412</v>
      </c>
      <c r="J113" s="6" t="s">
        <v>76</v>
      </c>
      <c r="K113" s="6" t="s">
        <v>29</v>
      </c>
      <c r="L113" s="6" t="s">
        <v>53</v>
      </c>
      <c r="M113" s="6" t="s">
        <v>522</v>
      </c>
      <c r="N113" s="6" t="s">
        <v>523</v>
      </c>
      <c r="O113" s="6" t="s">
        <v>33</v>
      </c>
      <c r="P113" s="1" t="str">
        <f aca="false">IF(H113="Yes",IF(J113="MLS","Pro - MLS",IF(J113="MLS NEXT Pro","Pro - MLS NEXT Pro",IF(J113="USL Championship","Pro - USL Championship",IF(J113="USL League One","Pro - USL League One","Pro - Other")))),IF(H113="No",IF(K113="Amateur / Pre-Professional","Amateur / Pre-Professional","Returned to College"),"Unknown"))</f>
        <v>Pro - MLS NEXT Pro</v>
      </c>
      <c r="Q113" s="1" t="str">
        <f aca="false">IF(E113="Yes","Yes","No")</f>
        <v>No</v>
      </c>
      <c r="R113" s="1" t="str">
        <f aca="false">IF(H113="Yes","Yes","No")</f>
        <v>Yes</v>
      </c>
      <c r="S113" s="2" t="s">
        <v>161</v>
      </c>
      <c r="T113" s="2" t="s">
        <v>35</v>
      </c>
      <c r="U113" s="2" t="s">
        <v>36</v>
      </c>
    </row>
    <row r="114" customFormat="false" ht="15" hidden="false" customHeight="true" outlineLevel="0" collapsed="false">
      <c r="A114" s="6" t="s">
        <v>524</v>
      </c>
      <c r="B114" s="6" t="s">
        <v>63</v>
      </c>
      <c r="C114" s="6" t="s">
        <v>466</v>
      </c>
      <c r="D114" s="6"/>
      <c r="E114" s="6" t="s">
        <v>25</v>
      </c>
      <c r="F114" s="6"/>
      <c r="G114" s="6"/>
      <c r="H114" s="6"/>
      <c r="I114" s="6"/>
      <c r="J114" s="6"/>
      <c r="K114" s="6" t="s">
        <v>88</v>
      </c>
      <c r="L114" s="6" t="s">
        <v>525</v>
      </c>
      <c r="M114" s="6"/>
      <c r="N114" s="6"/>
      <c r="O114" s="6" t="s">
        <v>71</v>
      </c>
      <c r="P114" s="1" t="str">
        <f aca="false">IF(H114="Yes",IF(J114="MLS","Pro - MLS",IF(J114="MLS NEXT Pro","Pro - MLS NEXT Pro",IF(J114="USL Championship","Pro - USL Championship",IF(J114="USL League One","Pro - USL League One","Pro - Other")))),IF(H114="No",IF(K114="Amateur / Pre-Professional","Amateur / Pre-Professional","Returned to College"),"Unknown"))</f>
        <v>Unknown</v>
      </c>
      <c r="Q114" s="1" t="str">
        <f aca="false">IF(E114="Yes","Yes","No")</f>
        <v>No</v>
      </c>
      <c r="R114" s="1" t="str">
        <f aca="false">IF(H114="Yes","Yes","No")</f>
        <v>No</v>
      </c>
      <c r="S114" s="2" t="s">
        <v>526</v>
      </c>
      <c r="T114" s="2" t="s">
        <v>35</v>
      </c>
      <c r="U114" s="2" t="s">
        <v>527</v>
      </c>
    </row>
    <row r="115" customFormat="false" ht="27.75" hidden="false" customHeight="true" outlineLevel="0" collapsed="false">
      <c r="A115" s="6" t="s">
        <v>528</v>
      </c>
      <c r="B115" s="6" t="s">
        <v>63</v>
      </c>
      <c r="C115" s="6" t="s">
        <v>529</v>
      </c>
      <c r="D115" s="6" t="s">
        <v>210</v>
      </c>
      <c r="E115" s="6" t="s">
        <v>25</v>
      </c>
      <c r="F115" s="6"/>
      <c r="G115" s="6"/>
      <c r="H115" s="6"/>
      <c r="I115" s="6"/>
      <c r="J115" s="6"/>
      <c r="K115" s="6" t="s">
        <v>88</v>
      </c>
      <c r="L115" s="6" t="s">
        <v>83</v>
      </c>
      <c r="M115" s="6"/>
      <c r="N115" s="6"/>
      <c r="O115" s="6" t="s">
        <v>71</v>
      </c>
      <c r="P115" s="1" t="str">
        <f aca="false">IF(H115="Yes",IF(J115="MLS","Pro - MLS",IF(J115="MLS NEXT Pro","Pro - MLS NEXT Pro",IF(J115="USL Championship","Pro - USL Championship",IF(J115="USL League One","Pro - USL League One","Pro - Other")))),IF(H115="No",IF(K115="Amateur / Pre-Professional","Amateur / Pre-Professional","Returned to College"),"Unknown"))</f>
        <v>Unknown</v>
      </c>
      <c r="Q115" s="1" t="str">
        <f aca="false">IF(E115="Yes","Yes","No")</f>
        <v>No</v>
      </c>
      <c r="R115" s="1" t="str">
        <f aca="false">IF(H115="Yes","Yes","No")</f>
        <v>No</v>
      </c>
      <c r="S115" s="2" t="s">
        <v>530</v>
      </c>
      <c r="T115" s="2" t="s">
        <v>35</v>
      </c>
      <c r="U115" s="2" t="s">
        <v>36</v>
      </c>
    </row>
    <row r="116" customFormat="false" ht="15" hidden="false" customHeight="true" outlineLevel="0" collapsed="false">
      <c r="A116" s="6" t="s">
        <v>531</v>
      </c>
      <c r="B116" s="6" t="s">
        <v>48</v>
      </c>
      <c r="C116" s="6" t="s">
        <v>532</v>
      </c>
      <c r="D116" s="6"/>
      <c r="E116" s="6" t="s">
        <v>25</v>
      </c>
      <c r="F116" s="6"/>
      <c r="G116" s="6"/>
      <c r="H116" s="6"/>
      <c r="I116" s="6"/>
      <c r="J116" s="6"/>
      <c r="K116" s="6" t="s">
        <v>88</v>
      </c>
      <c r="L116" s="6" t="s">
        <v>30</v>
      </c>
      <c r="M116" s="6"/>
      <c r="N116" s="6"/>
      <c r="O116" s="6" t="s">
        <v>71</v>
      </c>
      <c r="P116" s="1" t="str">
        <f aca="false">IF(H116="Yes",IF(J116="MLS","Pro - MLS",IF(J116="MLS NEXT Pro","Pro - MLS NEXT Pro",IF(J116="USL Championship","Pro - USL Championship",IF(J116="USL League One","Pro - USL League One","Pro - Other")))),IF(H116="No",IF(K116="Amateur / Pre-Professional","Amateur / Pre-Professional","Returned to College"),"Unknown"))</f>
        <v>Unknown</v>
      </c>
      <c r="Q116" s="1" t="str">
        <f aca="false">IF(E116="Yes","Yes","No")</f>
        <v>No</v>
      </c>
      <c r="R116" s="1" t="str">
        <f aca="false">IF(H116="Yes","Yes","No")</f>
        <v>No</v>
      </c>
      <c r="S116" s="2" t="s">
        <v>533</v>
      </c>
      <c r="T116" s="2" t="s">
        <v>35</v>
      </c>
      <c r="U116" s="2" t="s">
        <v>36</v>
      </c>
    </row>
    <row r="117" customFormat="false" ht="27.75" hidden="false" customHeight="true" outlineLevel="0" collapsed="false">
      <c r="A117" s="6" t="s">
        <v>534</v>
      </c>
      <c r="B117" s="6" t="s">
        <v>48</v>
      </c>
      <c r="C117" s="6" t="s">
        <v>535</v>
      </c>
      <c r="D117" s="6"/>
      <c r="E117" s="6" t="s">
        <v>26</v>
      </c>
      <c r="F117" s="6" t="n">
        <v>12</v>
      </c>
      <c r="G117" s="6" t="s">
        <v>301</v>
      </c>
      <c r="H117" s="6" t="s">
        <v>26</v>
      </c>
      <c r="I117" s="6" t="s">
        <v>536</v>
      </c>
      <c r="J117" s="6" t="s">
        <v>76</v>
      </c>
      <c r="K117" s="6" t="s">
        <v>29</v>
      </c>
      <c r="L117" s="6" t="s">
        <v>83</v>
      </c>
      <c r="M117" s="6" t="s">
        <v>133</v>
      </c>
      <c r="N117" s="6" t="s">
        <v>70</v>
      </c>
      <c r="O117" s="6" t="s">
        <v>71</v>
      </c>
      <c r="P117" s="1" t="str">
        <f aca="false">IF(H117="Yes",IF(J117="MLS","Pro - MLS",IF(J117="MLS NEXT Pro","Pro - MLS NEXT Pro",IF(J117="USL Championship","Pro - USL Championship",IF(J117="USL League One","Pro - USL League One","Pro - Other")))),IF(H117="No",IF(K117="Amateur / Pre-Professional","Amateur / Pre-Professional","Returned to College"),"Unknown"))</f>
        <v>Pro - MLS NEXT Pro</v>
      </c>
      <c r="Q117" s="1" t="str">
        <f aca="false">IF(E117="Yes","Yes","No")</f>
        <v>Yes</v>
      </c>
      <c r="R117" s="1" t="str">
        <f aca="false">IF(H117="Yes","Yes","No")</f>
        <v>Yes</v>
      </c>
      <c r="U117" s="2" t="s">
        <v>56</v>
      </c>
    </row>
    <row r="118" customFormat="false" ht="27.75" hidden="false" customHeight="true" outlineLevel="0" collapsed="false">
      <c r="A118" s="6" t="s">
        <v>537</v>
      </c>
      <c r="B118" s="6" t="s">
        <v>38</v>
      </c>
      <c r="C118" s="6" t="s">
        <v>353</v>
      </c>
      <c r="D118" s="6" t="s">
        <v>538</v>
      </c>
      <c r="E118" s="6" t="s">
        <v>26</v>
      </c>
      <c r="F118" s="6" t="n">
        <v>76</v>
      </c>
      <c r="G118" s="6" t="s">
        <v>59</v>
      </c>
      <c r="H118" s="6" t="s">
        <v>25</v>
      </c>
      <c r="I118" s="6" t="s">
        <v>353</v>
      </c>
      <c r="J118" s="6" t="s">
        <v>51</v>
      </c>
      <c r="K118" s="6" t="s">
        <v>52</v>
      </c>
      <c r="L118" s="6" t="s">
        <v>53</v>
      </c>
      <c r="M118" s="6" t="s">
        <v>539</v>
      </c>
      <c r="N118" s="6" t="s">
        <v>540</v>
      </c>
      <c r="O118" s="6" t="s">
        <v>33</v>
      </c>
      <c r="P118" s="1" t="str">
        <f aca="false">IF(H118="Yes",IF(J118="MLS","Pro - MLS",IF(J118="MLS NEXT Pro","Pro - MLS NEXT Pro",IF(J118="USL Championship","Pro - USL Championship",IF(J118="USL League One","Pro - USL League One","Pro - Other")))),IF(H118="No",IF(K118="Amateur / Pre-Professional","Amateur / Pre-Professional","Returned to College"),"Unknown"))</f>
        <v>Returned to College</v>
      </c>
      <c r="Q118" s="1" t="str">
        <f aca="false">IF(E118="Yes","Yes","No")</f>
        <v>Yes</v>
      </c>
      <c r="R118" s="1" t="str">
        <f aca="false">IF(H118="Yes","Yes","No")</f>
        <v>No</v>
      </c>
      <c r="U118" s="2" t="s">
        <v>56</v>
      </c>
    </row>
    <row r="119" customFormat="false" ht="27.75" hidden="false" customHeight="true" outlineLevel="0" collapsed="false">
      <c r="A119" s="6" t="s">
        <v>541</v>
      </c>
      <c r="B119" s="6" t="s">
        <v>38</v>
      </c>
      <c r="C119" s="6" t="s">
        <v>155</v>
      </c>
      <c r="D119" s="6" t="s">
        <v>542</v>
      </c>
      <c r="E119" s="6" t="s">
        <v>25</v>
      </c>
      <c r="F119" s="6"/>
      <c r="G119" s="6"/>
      <c r="H119" s="6" t="s">
        <v>26</v>
      </c>
      <c r="I119" s="6" t="s">
        <v>543</v>
      </c>
      <c r="J119" s="6" t="s">
        <v>76</v>
      </c>
      <c r="K119" s="6" t="s">
        <v>29</v>
      </c>
      <c r="L119" s="6" t="s">
        <v>267</v>
      </c>
      <c r="M119" s="6" t="s">
        <v>544</v>
      </c>
      <c r="N119" s="6" t="s">
        <v>545</v>
      </c>
      <c r="O119" s="6" t="s">
        <v>33</v>
      </c>
      <c r="P119" s="1" t="str">
        <f aca="false">IF(H119="Yes",IF(J119="MLS","Pro - MLS",IF(J119="MLS NEXT Pro","Pro - MLS NEXT Pro",IF(J119="USL Championship","Pro - USL Championship",IF(J119="USL League One","Pro - USL League One","Pro - Other")))),IF(H119="No",IF(K119="Amateur / Pre-Professional","Amateur / Pre-Professional","Returned to College"),"Unknown"))</f>
        <v>Pro - MLS NEXT Pro</v>
      </c>
      <c r="Q119" s="1" t="str">
        <f aca="false">IF(E119="Yes","Yes","No")</f>
        <v>No</v>
      </c>
      <c r="R119" s="1" t="str">
        <f aca="false">IF(H119="Yes","Yes","No")</f>
        <v>Yes</v>
      </c>
      <c r="S119" s="2" t="s">
        <v>157</v>
      </c>
      <c r="T119" s="2" t="s">
        <v>35</v>
      </c>
      <c r="U119" s="2" t="s">
        <v>36</v>
      </c>
    </row>
    <row r="120" customFormat="false" ht="15" hidden="false" customHeight="true" outlineLevel="0" collapsed="false">
      <c r="A120" s="6" t="s">
        <v>546</v>
      </c>
      <c r="B120" s="6" t="s">
        <v>38</v>
      </c>
      <c r="C120" s="6" t="s">
        <v>547</v>
      </c>
      <c r="D120" s="6" t="s">
        <v>548</v>
      </c>
      <c r="E120" s="6" t="s">
        <v>25</v>
      </c>
      <c r="F120" s="6"/>
      <c r="G120" s="6"/>
      <c r="H120" s="6"/>
      <c r="I120" s="6"/>
      <c r="J120" s="6"/>
      <c r="K120" s="6" t="s">
        <v>88</v>
      </c>
      <c r="L120" s="6" t="s">
        <v>30</v>
      </c>
      <c r="M120" s="6"/>
      <c r="N120" s="6"/>
      <c r="O120" s="6" t="s">
        <v>71</v>
      </c>
      <c r="P120" s="1" t="str">
        <f aca="false">IF(H120="Yes",IF(J120="MLS","Pro - MLS",IF(J120="MLS NEXT Pro","Pro - MLS NEXT Pro",IF(J120="USL Championship","Pro - USL Championship",IF(J120="USL League One","Pro - USL League One","Pro - Other")))),IF(H120="No",IF(K120="Amateur / Pre-Professional","Amateur / Pre-Professional","Returned to College"),"Unknown"))</f>
        <v>Unknown</v>
      </c>
      <c r="Q120" s="1" t="str">
        <f aca="false">IF(E120="Yes","Yes","No")</f>
        <v>No</v>
      </c>
      <c r="R120" s="1" t="str">
        <f aca="false">IF(H120="Yes","Yes","No")</f>
        <v>No</v>
      </c>
      <c r="S120" s="2" t="s">
        <v>549</v>
      </c>
      <c r="T120" s="2" t="s">
        <v>35</v>
      </c>
      <c r="U120" s="2" t="s">
        <v>550</v>
      </c>
    </row>
    <row r="121" customFormat="false" ht="15" hidden="false" customHeight="true" outlineLevel="0" collapsed="false">
      <c r="A121" s="6" t="s">
        <v>551</v>
      </c>
      <c r="B121" s="6" t="s">
        <v>63</v>
      </c>
      <c r="C121" s="6" t="s">
        <v>552</v>
      </c>
      <c r="D121" s="6"/>
      <c r="E121" s="6" t="s">
        <v>25</v>
      </c>
      <c r="F121" s="6"/>
      <c r="G121" s="6"/>
      <c r="H121" s="6" t="s">
        <v>26</v>
      </c>
      <c r="I121" s="6" t="s">
        <v>130</v>
      </c>
      <c r="J121" s="6" t="s">
        <v>67</v>
      </c>
      <c r="K121" s="6" t="s">
        <v>29</v>
      </c>
      <c r="L121" s="6" t="s">
        <v>30</v>
      </c>
      <c r="M121" s="6" t="s">
        <v>553</v>
      </c>
      <c r="N121" s="6" t="s">
        <v>554</v>
      </c>
      <c r="O121" s="6" t="s">
        <v>33</v>
      </c>
      <c r="P121" s="1" t="str">
        <f aca="false">IF(H121="Yes",IF(J121="MLS","Pro - MLS",IF(J121="MLS NEXT Pro","Pro - MLS NEXT Pro",IF(J121="USL Championship","Pro - USL Championship",IF(J121="USL League One","Pro - USL League One","Pro - Other")))),IF(H121="No",IF(K121="Amateur / Pre-Professional","Amateur / Pre-Professional","Returned to College"),"Unknown"))</f>
        <v>Pro - MLS</v>
      </c>
      <c r="Q121" s="1" t="str">
        <f aca="false">IF(E121="Yes","Yes","No")</f>
        <v>No</v>
      </c>
      <c r="R121" s="1" t="str">
        <f aca="false">IF(H121="Yes","Yes","No")</f>
        <v>Yes</v>
      </c>
      <c r="S121" s="2" t="s">
        <v>555</v>
      </c>
      <c r="T121" s="2" t="s">
        <v>35</v>
      </c>
      <c r="U121" s="2" t="s">
        <v>36</v>
      </c>
    </row>
    <row r="122" customFormat="false" ht="15" hidden="false" customHeight="true" outlineLevel="0" collapsed="false">
      <c r="A122" s="6" t="s">
        <v>556</v>
      </c>
      <c r="B122" s="6" t="s">
        <v>63</v>
      </c>
      <c r="C122" s="6" t="s">
        <v>557</v>
      </c>
      <c r="D122" s="6"/>
      <c r="E122" s="6" t="s">
        <v>25</v>
      </c>
      <c r="F122" s="6"/>
      <c r="G122" s="6"/>
      <c r="H122" s="6" t="s">
        <v>25</v>
      </c>
      <c r="I122" s="6" t="s">
        <v>557</v>
      </c>
      <c r="J122" s="6" t="s">
        <v>51</v>
      </c>
      <c r="K122" s="6" t="s">
        <v>52</v>
      </c>
      <c r="L122" s="6" t="s">
        <v>83</v>
      </c>
      <c r="M122" s="6" t="s">
        <v>558</v>
      </c>
      <c r="N122" s="6" t="s">
        <v>559</v>
      </c>
      <c r="O122" s="6" t="s">
        <v>33</v>
      </c>
      <c r="P122" s="1" t="str">
        <f aca="false">IF(H122="Yes",IF(J122="MLS","Pro - MLS",IF(J122="MLS NEXT Pro","Pro - MLS NEXT Pro",IF(J122="USL Championship","Pro - USL Championship",IF(J122="USL League One","Pro - USL League One","Pro - Other")))),IF(H122="No",IF(K122="Amateur / Pre-Professional","Amateur / Pre-Professional","Returned to College"),"Unknown"))</f>
        <v>Returned to College</v>
      </c>
      <c r="Q122" s="1" t="str">
        <f aca="false">IF(E122="Yes","Yes","No")</f>
        <v>No</v>
      </c>
      <c r="R122" s="1" t="str">
        <f aca="false">IF(H122="Yes","Yes","No")</f>
        <v>No</v>
      </c>
      <c r="S122" s="2" t="s">
        <v>560</v>
      </c>
      <c r="T122" s="2" t="s">
        <v>35</v>
      </c>
      <c r="U122" s="2" t="s">
        <v>561</v>
      </c>
    </row>
    <row r="123" customFormat="false" ht="15" hidden="false" customHeight="true" outlineLevel="0" collapsed="false">
      <c r="A123" s="6" t="s">
        <v>562</v>
      </c>
      <c r="B123" s="6" t="s">
        <v>48</v>
      </c>
      <c r="C123" s="6" t="s">
        <v>485</v>
      </c>
      <c r="D123" s="6"/>
      <c r="E123" s="6" t="s">
        <v>25</v>
      </c>
      <c r="F123" s="6"/>
      <c r="G123" s="6"/>
      <c r="H123" s="6"/>
      <c r="I123" s="6"/>
      <c r="J123" s="6"/>
      <c r="K123" s="6" t="s">
        <v>88</v>
      </c>
      <c r="L123" s="6" t="s">
        <v>436</v>
      </c>
      <c r="M123" s="6"/>
      <c r="N123" s="6"/>
      <c r="O123" s="6" t="s">
        <v>71</v>
      </c>
      <c r="P123" s="1" t="str">
        <f aca="false">IF(H123="Yes",IF(J123="MLS","Pro - MLS",IF(J123="MLS NEXT Pro","Pro - MLS NEXT Pro",IF(J123="USL Championship","Pro - USL Championship",IF(J123="USL League One","Pro - USL League One","Pro - Other")))),IF(H123="No",IF(K123="Amateur / Pre-Professional","Amateur / Pre-Professional","Returned to College"),"Unknown"))</f>
        <v>Unknown</v>
      </c>
      <c r="Q123" s="1" t="str">
        <f aca="false">IF(E123="Yes","Yes","No")</f>
        <v>No</v>
      </c>
      <c r="R123" s="1" t="str">
        <f aca="false">IF(H123="Yes","Yes","No")</f>
        <v>No</v>
      </c>
      <c r="T123" s="2" t="s">
        <v>437</v>
      </c>
      <c r="U123" s="2" t="s">
        <v>438</v>
      </c>
    </row>
    <row r="124" customFormat="false" ht="27.75" hidden="false" customHeight="true" outlineLevel="0" collapsed="false">
      <c r="A124" s="6" t="s">
        <v>563</v>
      </c>
      <c r="B124" s="6" t="s">
        <v>63</v>
      </c>
      <c r="C124" s="6" t="s">
        <v>174</v>
      </c>
      <c r="D124" s="6" t="s">
        <v>564</v>
      </c>
      <c r="E124" s="6" t="s">
        <v>26</v>
      </c>
      <c r="F124" s="6" t="n">
        <v>31</v>
      </c>
      <c r="G124" s="6" t="s">
        <v>121</v>
      </c>
      <c r="H124" s="6" t="s">
        <v>25</v>
      </c>
      <c r="I124" s="6" t="s">
        <v>179</v>
      </c>
      <c r="J124" s="6" t="s">
        <v>51</v>
      </c>
      <c r="K124" s="6" t="s">
        <v>425</v>
      </c>
      <c r="L124" s="6" t="s">
        <v>83</v>
      </c>
      <c r="M124" s="6" t="s">
        <v>133</v>
      </c>
      <c r="N124" s="6" t="s">
        <v>70</v>
      </c>
      <c r="O124" s="6" t="s">
        <v>71</v>
      </c>
      <c r="P124" s="1" t="str">
        <f aca="false">IF(H124="Yes",IF(J124="MLS","Pro - MLS",IF(J124="MLS NEXT Pro","Pro - MLS NEXT Pro",IF(J124="USL Championship","Pro - USL Championship",IF(J124="USL League One","Pro - USL League One","Pro - Other")))),IF(H124="No",IF(K124="Amateur / Pre-Professional","Amateur / Pre-Professional","Returned to College"),"Unknown"))</f>
        <v>Returned to College</v>
      </c>
      <c r="Q124" s="1" t="str">
        <f aca="false">IF(E124="Yes","Yes","No")</f>
        <v>Yes</v>
      </c>
      <c r="R124" s="1" t="str">
        <f aca="false">IF(H124="Yes","Yes","No")</f>
        <v>No</v>
      </c>
      <c r="U124" s="2" t="s">
        <v>56</v>
      </c>
    </row>
    <row r="125" customFormat="false" ht="15" hidden="false" customHeight="true" outlineLevel="0" collapsed="false">
      <c r="A125" s="6" t="s">
        <v>565</v>
      </c>
      <c r="B125" s="6" t="s">
        <v>48</v>
      </c>
      <c r="C125" s="6" t="s">
        <v>566</v>
      </c>
      <c r="D125" s="6"/>
      <c r="E125" s="6" t="s">
        <v>25</v>
      </c>
      <c r="F125" s="6"/>
      <c r="G125" s="6"/>
      <c r="H125" s="6" t="s">
        <v>26</v>
      </c>
      <c r="I125" s="6" t="s">
        <v>567</v>
      </c>
      <c r="J125" s="6" t="s">
        <v>28</v>
      </c>
      <c r="K125" s="6" t="s">
        <v>29</v>
      </c>
      <c r="L125" s="6" t="s">
        <v>30</v>
      </c>
      <c r="M125" s="6" t="s">
        <v>568</v>
      </c>
      <c r="N125" s="6" t="s">
        <v>569</v>
      </c>
      <c r="O125" s="6" t="s">
        <v>33</v>
      </c>
      <c r="P125" s="1" t="str">
        <f aca="false">IF(H125="Yes",IF(J125="MLS","Pro - MLS",IF(J125="MLS NEXT Pro","Pro - MLS NEXT Pro",IF(J125="USL Championship","Pro - USL Championship",IF(J125="USL League One","Pro - USL League One","Pro - Other")))),IF(H125="No",IF(K125="Amateur / Pre-Professional","Amateur / Pre-Professional","Returned to College"),"Unknown"))</f>
        <v>Pro - USL League One</v>
      </c>
      <c r="Q125" s="1" t="str">
        <f aca="false">IF(E125="Yes","Yes","No")</f>
        <v>No</v>
      </c>
      <c r="R125" s="1" t="str">
        <f aca="false">IF(H125="Yes","Yes","No")</f>
        <v>Yes</v>
      </c>
      <c r="S125" s="2" t="s">
        <v>570</v>
      </c>
      <c r="T125" s="2" t="s">
        <v>35</v>
      </c>
      <c r="U125" s="2" t="s">
        <v>36</v>
      </c>
    </row>
    <row r="126" customFormat="false" ht="15" hidden="false" customHeight="true" outlineLevel="0" collapsed="false">
      <c r="A126" s="6" t="s">
        <v>571</v>
      </c>
      <c r="B126" s="6" t="s">
        <v>63</v>
      </c>
      <c r="C126" s="6" t="s">
        <v>357</v>
      </c>
      <c r="D126" s="6"/>
      <c r="E126" s="6" t="s">
        <v>25</v>
      </c>
      <c r="F126" s="6"/>
      <c r="G126" s="6"/>
      <c r="H126" s="6"/>
      <c r="I126" s="6"/>
      <c r="J126" s="6"/>
      <c r="K126" s="6" t="s">
        <v>88</v>
      </c>
      <c r="L126" s="6" t="s">
        <v>30</v>
      </c>
      <c r="M126" s="6"/>
      <c r="N126" s="6"/>
      <c r="O126" s="6" t="s">
        <v>71</v>
      </c>
      <c r="P126" s="1" t="str">
        <f aca="false">IF(H126="Yes",IF(J126="MLS","Pro - MLS",IF(J126="MLS NEXT Pro","Pro - MLS NEXT Pro",IF(J126="USL Championship","Pro - USL Championship",IF(J126="USL League One","Pro - USL League One","Pro - Other")))),IF(H126="No",IF(K126="Amateur / Pre-Professional","Amateur / Pre-Professional","Returned to College"),"Unknown"))</f>
        <v>Unknown</v>
      </c>
      <c r="Q126" s="1" t="str">
        <f aca="false">IF(E126="Yes","Yes","No")</f>
        <v>No</v>
      </c>
      <c r="R126" s="1" t="str">
        <f aca="false">IF(H126="Yes","Yes","No")</f>
        <v>No</v>
      </c>
      <c r="U126" s="2" t="s">
        <v>56</v>
      </c>
    </row>
    <row r="127" customFormat="false" ht="27.75" hidden="false" customHeight="true" outlineLevel="0" collapsed="false">
      <c r="A127" s="6" t="s">
        <v>572</v>
      </c>
      <c r="B127" s="6" t="s">
        <v>48</v>
      </c>
      <c r="C127" s="6" t="s">
        <v>573</v>
      </c>
      <c r="D127" s="6" t="s">
        <v>574</v>
      </c>
      <c r="E127" s="6" t="s">
        <v>25</v>
      </c>
      <c r="F127" s="6"/>
      <c r="G127" s="6"/>
      <c r="H127" s="6"/>
      <c r="I127" s="6"/>
      <c r="J127" s="6"/>
      <c r="K127" s="6" t="s">
        <v>88</v>
      </c>
      <c r="L127" s="6" t="s">
        <v>30</v>
      </c>
      <c r="M127" s="6"/>
      <c r="N127" s="6"/>
      <c r="O127" s="6" t="s">
        <v>71</v>
      </c>
      <c r="P127" s="1" t="str">
        <f aca="false">IF(H127="Yes",IF(J127="MLS","Pro - MLS",IF(J127="MLS NEXT Pro","Pro - MLS NEXT Pro",IF(J127="USL Championship","Pro - USL Championship",IF(J127="USL League One","Pro - USL League One","Pro - Other")))),IF(H127="No",IF(K127="Amateur / Pre-Professional","Amateur / Pre-Professional","Returned to College"),"Unknown"))</f>
        <v>Unknown</v>
      </c>
      <c r="Q127" s="1" t="str">
        <f aca="false">IF(E127="Yes","Yes","No")</f>
        <v>No</v>
      </c>
      <c r="R127" s="1" t="str">
        <f aca="false">IF(H127="Yes","Yes","No")</f>
        <v>No</v>
      </c>
      <c r="S127" s="2" t="s">
        <v>575</v>
      </c>
      <c r="T127" s="2" t="s">
        <v>35</v>
      </c>
      <c r="U127" s="2" t="s">
        <v>576</v>
      </c>
    </row>
    <row r="128" customFormat="false" ht="15" hidden="false" customHeight="true" outlineLevel="0" collapsed="false">
      <c r="A128" s="6" t="s">
        <v>577</v>
      </c>
      <c r="B128" s="6" t="s">
        <v>48</v>
      </c>
      <c r="C128" s="6" t="s">
        <v>189</v>
      </c>
      <c r="D128" s="6"/>
      <c r="E128" s="6" t="s">
        <v>25</v>
      </c>
      <c r="F128" s="6"/>
      <c r="G128" s="6"/>
      <c r="H128" s="6" t="s">
        <v>25</v>
      </c>
      <c r="I128" s="6" t="s">
        <v>189</v>
      </c>
      <c r="J128" s="6" t="s">
        <v>51</v>
      </c>
      <c r="K128" s="6" t="s">
        <v>52</v>
      </c>
      <c r="L128" s="6" t="s">
        <v>53</v>
      </c>
      <c r="M128" s="6" t="s">
        <v>578</v>
      </c>
      <c r="N128" s="6" t="s">
        <v>579</v>
      </c>
      <c r="O128" s="6" t="s">
        <v>33</v>
      </c>
      <c r="P128" s="1" t="str">
        <f aca="false">IF(H128="Yes",IF(J128="MLS","Pro - MLS",IF(J128="MLS NEXT Pro","Pro - MLS NEXT Pro",IF(J128="USL Championship","Pro - USL Championship",IF(J128="USL League One","Pro - USL League One","Pro - Other")))),IF(H128="No",IF(K128="Amateur / Pre-Professional","Amateur / Pre-Professional","Returned to College"),"Unknown"))</f>
        <v>Returned to College</v>
      </c>
      <c r="Q128" s="1" t="str">
        <f aca="false">IF(E128="Yes","Yes","No")</f>
        <v>No</v>
      </c>
      <c r="R128" s="1" t="str">
        <f aca="false">IF(H128="Yes","Yes","No")</f>
        <v>No</v>
      </c>
      <c r="S128" s="2" t="s">
        <v>580</v>
      </c>
      <c r="T128" s="2" t="s">
        <v>35</v>
      </c>
      <c r="U128" s="2" t="s">
        <v>36</v>
      </c>
    </row>
    <row r="129" customFormat="false" ht="27.75" hidden="false" customHeight="true" outlineLevel="0" collapsed="false">
      <c r="A129" s="6" t="s">
        <v>581</v>
      </c>
      <c r="B129" s="6" t="s">
        <v>48</v>
      </c>
      <c r="C129" s="6" t="s">
        <v>321</v>
      </c>
      <c r="D129" s="6" t="s">
        <v>74</v>
      </c>
      <c r="E129" s="6" t="s">
        <v>26</v>
      </c>
      <c r="F129" s="6" t="n">
        <v>74</v>
      </c>
      <c r="G129" s="6" t="s">
        <v>306</v>
      </c>
      <c r="H129" s="6" t="s">
        <v>26</v>
      </c>
      <c r="I129" s="6" t="s">
        <v>377</v>
      </c>
      <c r="J129" s="6" t="s">
        <v>76</v>
      </c>
      <c r="K129" s="6" t="s">
        <v>29</v>
      </c>
      <c r="L129" s="6" t="s">
        <v>30</v>
      </c>
      <c r="M129" s="6" t="s">
        <v>133</v>
      </c>
      <c r="N129" s="6" t="s">
        <v>70</v>
      </c>
      <c r="O129" s="6" t="s">
        <v>71</v>
      </c>
      <c r="P129" s="1" t="str">
        <f aca="false">IF(H129="Yes",IF(J129="MLS","Pro - MLS",IF(J129="MLS NEXT Pro","Pro - MLS NEXT Pro",IF(J129="USL Championship","Pro - USL Championship",IF(J129="USL League One","Pro - USL League One","Pro - Other")))),IF(H129="No",IF(K129="Amateur / Pre-Professional","Amateur / Pre-Professional","Returned to College"),"Unknown"))</f>
        <v>Pro - MLS NEXT Pro</v>
      </c>
      <c r="Q129" s="1" t="str">
        <f aca="false">IF(E129="Yes","Yes","No")</f>
        <v>Yes</v>
      </c>
      <c r="R129" s="1" t="str">
        <f aca="false">IF(H129="Yes","Yes","No")</f>
        <v>Yes</v>
      </c>
      <c r="U129" s="2" t="s">
        <v>56</v>
      </c>
    </row>
    <row r="130" customFormat="false" ht="27.75" hidden="false" customHeight="true" outlineLevel="0" collapsed="false">
      <c r="A130" s="6" t="s">
        <v>582</v>
      </c>
      <c r="B130" s="6" t="s">
        <v>63</v>
      </c>
      <c r="C130" s="6" t="s">
        <v>322</v>
      </c>
      <c r="D130" s="6"/>
      <c r="E130" s="6" t="s">
        <v>26</v>
      </c>
      <c r="F130" s="6" t="n">
        <v>75</v>
      </c>
      <c r="G130" s="6" t="s">
        <v>74</v>
      </c>
      <c r="H130" s="6" t="s">
        <v>26</v>
      </c>
      <c r="I130" s="6" t="s">
        <v>583</v>
      </c>
      <c r="J130" s="6" t="s">
        <v>76</v>
      </c>
      <c r="K130" s="6" t="s">
        <v>29</v>
      </c>
      <c r="L130" s="6" t="s">
        <v>584</v>
      </c>
      <c r="M130" s="6" t="s">
        <v>133</v>
      </c>
      <c r="N130" s="6" t="s">
        <v>70</v>
      </c>
      <c r="O130" s="6" t="s">
        <v>71</v>
      </c>
      <c r="P130" s="1" t="str">
        <f aca="false">IF(H130="Yes",IF(J130="MLS","Pro - MLS",IF(J130="MLS NEXT Pro","Pro - MLS NEXT Pro",IF(J130="USL Championship","Pro - USL Championship",IF(J130="USL League One","Pro - USL League One","Pro - Other")))),IF(H130="No",IF(K130="Amateur / Pre-Professional","Amateur / Pre-Professional","Returned to College"),"Unknown"))</f>
        <v>Pro - MLS NEXT Pro</v>
      </c>
      <c r="Q130" s="1" t="str">
        <f aca="false">IF(E130="Yes","Yes","No")</f>
        <v>Yes</v>
      </c>
      <c r="R130" s="1" t="str">
        <f aca="false">IF(H130="Yes","Yes","No")</f>
        <v>Yes</v>
      </c>
      <c r="U130" s="2" t="s">
        <v>56</v>
      </c>
    </row>
    <row r="131" customFormat="false" ht="15" hidden="false" customHeight="true" outlineLevel="0" collapsed="false">
      <c r="A131" s="6" t="s">
        <v>585</v>
      </c>
      <c r="B131" s="6" t="s">
        <v>22</v>
      </c>
      <c r="C131" s="6" t="s">
        <v>586</v>
      </c>
      <c r="D131" s="6" t="s">
        <v>74</v>
      </c>
      <c r="E131" s="6" t="s">
        <v>25</v>
      </c>
      <c r="F131" s="6"/>
      <c r="G131" s="6"/>
      <c r="H131" s="6"/>
      <c r="I131" s="6"/>
      <c r="J131" s="6"/>
      <c r="K131" s="6" t="s">
        <v>88</v>
      </c>
      <c r="L131" s="6" t="s">
        <v>43</v>
      </c>
      <c r="M131" s="6"/>
      <c r="N131" s="6"/>
      <c r="O131" s="6" t="s">
        <v>71</v>
      </c>
      <c r="P131" s="1" t="str">
        <f aca="false">IF(H131="Yes",IF(J131="MLS","Pro - MLS",IF(J131="MLS NEXT Pro","Pro - MLS NEXT Pro",IF(J131="USL Championship","Pro - USL Championship",IF(J131="USL League One","Pro - USL League One","Pro - Other")))),IF(H131="No",IF(K131="Amateur / Pre-Professional","Amateur / Pre-Professional","Returned to College"),"Unknown"))</f>
        <v>Unknown</v>
      </c>
      <c r="Q131" s="1" t="str">
        <f aca="false">IF(E131="Yes","Yes","No")</f>
        <v>No</v>
      </c>
      <c r="R131" s="1" t="str">
        <f aca="false">IF(H131="Yes","Yes","No")</f>
        <v>No</v>
      </c>
      <c r="S131" s="2" t="s">
        <v>587</v>
      </c>
      <c r="T131" s="2" t="s">
        <v>35</v>
      </c>
      <c r="U131" s="2" t="s">
        <v>36</v>
      </c>
    </row>
    <row r="132" customFormat="false" ht="27.75" hidden="false" customHeight="true" outlineLevel="0" collapsed="false">
      <c r="A132" s="6" t="s">
        <v>588</v>
      </c>
      <c r="B132" s="6" t="s">
        <v>63</v>
      </c>
      <c r="C132" s="6" t="s">
        <v>218</v>
      </c>
      <c r="D132" s="6" t="s">
        <v>121</v>
      </c>
      <c r="E132" s="6" t="s">
        <v>25</v>
      </c>
      <c r="F132" s="6"/>
      <c r="G132" s="6"/>
      <c r="H132" s="6" t="s">
        <v>25</v>
      </c>
      <c r="I132" s="6" t="s">
        <v>218</v>
      </c>
      <c r="J132" s="6" t="s">
        <v>51</v>
      </c>
      <c r="K132" s="6" t="s">
        <v>52</v>
      </c>
      <c r="L132" s="6" t="s">
        <v>92</v>
      </c>
      <c r="M132" s="6" t="s">
        <v>589</v>
      </c>
      <c r="N132" s="6" t="s">
        <v>590</v>
      </c>
      <c r="O132" s="6" t="s">
        <v>33</v>
      </c>
      <c r="P132" s="1" t="str">
        <f aca="false">IF(H132="Yes",IF(J132="MLS","Pro - MLS",IF(J132="MLS NEXT Pro","Pro - MLS NEXT Pro",IF(J132="USL Championship","Pro - USL Championship",IF(J132="USL League One","Pro - USL League One","Pro - Other")))),IF(H132="No",IF(K132="Amateur / Pre-Professional","Amateur / Pre-Professional","Returned to College"),"Unknown"))</f>
        <v>Returned to College</v>
      </c>
      <c r="Q132" s="1" t="str">
        <f aca="false">IF(E132="Yes","Yes","No")</f>
        <v>No</v>
      </c>
      <c r="R132" s="1" t="str">
        <f aca="false">IF(H132="Yes","Yes","No")</f>
        <v>No</v>
      </c>
      <c r="S132" s="2" t="s">
        <v>222</v>
      </c>
      <c r="T132" s="2" t="s">
        <v>35</v>
      </c>
      <c r="U132" s="2" t="s">
        <v>36</v>
      </c>
    </row>
    <row r="133" customFormat="false" ht="15" hidden="false" customHeight="true" outlineLevel="0" collapsed="false">
      <c r="A133" s="6" t="s">
        <v>591</v>
      </c>
      <c r="B133" s="6" t="s">
        <v>63</v>
      </c>
      <c r="C133" s="6" t="s">
        <v>321</v>
      </c>
      <c r="D133" s="6"/>
      <c r="E133" s="6" t="s">
        <v>25</v>
      </c>
      <c r="F133" s="6"/>
      <c r="G133" s="6"/>
      <c r="H133" s="6" t="s">
        <v>25</v>
      </c>
      <c r="I133" s="6" t="s">
        <v>321</v>
      </c>
      <c r="J133" s="6" t="s">
        <v>51</v>
      </c>
      <c r="K133" s="6" t="s">
        <v>52</v>
      </c>
      <c r="L133" s="6" t="s">
        <v>83</v>
      </c>
      <c r="M133" s="6" t="s">
        <v>592</v>
      </c>
      <c r="N133" s="6" t="s">
        <v>593</v>
      </c>
      <c r="O133" s="6" t="s">
        <v>33</v>
      </c>
      <c r="P133" s="1" t="str">
        <f aca="false">IF(H133="Yes",IF(J133="MLS","Pro - MLS",IF(J133="MLS NEXT Pro","Pro - MLS NEXT Pro",IF(J133="USL Championship","Pro - USL Championship",IF(J133="USL League One","Pro - USL League One","Pro - Other")))),IF(H133="No",IF(K133="Amateur / Pre-Professional","Amateur / Pre-Professional","Returned to College"),"Unknown"))</f>
        <v>Returned to College</v>
      </c>
      <c r="Q133" s="1" t="str">
        <f aca="false">IF(E133="Yes","Yes","No")</f>
        <v>No</v>
      </c>
      <c r="R133" s="1" t="str">
        <f aca="false">IF(H133="Yes","Yes","No")</f>
        <v>No</v>
      </c>
      <c r="S133" s="2" t="s">
        <v>592</v>
      </c>
      <c r="T133" s="2" t="s">
        <v>35</v>
      </c>
      <c r="U133" s="2" t="s">
        <v>36</v>
      </c>
    </row>
    <row r="134" customFormat="false" ht="15" hidden="false" customHeight="true" outlineLevel="0" collapsed="false">
      <c r="A134" s="6" t="s">
        <v>594</v>
      </c>
      <c r="B134" s="6" t="s">
        <v>48</v>
      </c>
      <c r="C134" s="6" t="s">
        <v>64</v>
      </c>
      <c r="D134" s="6"/>
      <c r="E134" s="6" t="s">
        <v>25</v>
      </c>
      <c r="F134" s="6"/>
      <c r="G134" s="6"/>
      <c r="H134" s="6" t="s">
        <v>25</v>
      </c>
      <c r="I134" s="6" t="s">
        <v>64</v>
      </c>
      <c r="J134" s="6" t="s">
        <v>51</v>
      </c>
      <c r="K134" s="6" t="s">
        <v>52</v>
      </c>
      <c r="L134" s="6" t="s">
        <v>53</v>
      </c>
      <c r="M134" s="6" t="s">
        <v>595</v>
      </c>
      <c r="N134" s="6" t="s">
        <v>596</v>
      </c>
      <c r="O134" s="6" t="s">
        <v>33</v>
      </c>
      <c r="P134" s="1" t="str">
        <f aca="false">IF(H134="Yes",IF(J134="MLS","Pro - MLS",IF(J134="MLS NEXT Pro","Pro - MLS NEXT Pro",IF(J134="USL Championship","Pro - USL Championship",IF(J134="USL League One","Pro - USL League One","Pro - Other")))),IF(H134="No",IF(K134="Amateur / Pre-Professional","Amateur / Pre-Professional","Returned to College"),"Unknown"))</f>
        <v>Returned to College</v>
      </c>
      <c r="Q134" s="1" t="str">
        <f aca="false">IF(E134="Yes","Yes","No")</f>
        <v>No</v>
      </c>
      <c r="R134" s="1" t="str">
        <f aca="false">IF(H134="Yes","Yes","No")</f>
        <v>No</v>
      </c>
      <c r="S134" s="2" t="s">
        <v>597</v>
      </c>
      <c r="T134" s="2" t="s">
        <v>35</v>
      </c>
      <c r="U134" s="2" t="s">
        <v>598</v>
      </c>
    </row>
    <row r="135" customFormat="false" ht="15" hidden="false" customHeight="true" outlineLevel="0" collapsed="false">
      <c r="A135" s="6" t="s">
        <v>599</v>
      </c>
      <c r="B135" s="6" t="s">
        <v>63</v>
      </c>
      <c r="C135" s="6" t="s">
        <v>600</v>
      </c>
      <c r="D135" s="6" t="s">
        <v>601</v>
      </c>
      <c r="E135" s="6" t="s">
        <v>25</v>
      </c>
      <c r="F135" s="6"/>
      <c r="G135" s="6"/>
      <c r="H135" s="6"/>
      <c r="I135" s="6"/>
      <c r="J135" s="6"/>
      <c r="K135" s="6" t="s">
        <v>88</v>
      </c>
      <c r="L135" s="6" t="s">
        <v>30</v>
      </c>
      <c r="M135" s="6"/>
      <c r="N135" s="6"/>
      <c r="O135" s="6" t="s">
        <v>71</v>
      </c>
      <c r="P135" s="1" t="str">
        <f aca="false">IF(H135="Yes",IF(J135="MLS","Pro - MLS",IF(J135="MLS NEXT Pro","Pro - MLS NEXT Pro",IF(J135="USL Championship","Pro - USL Championship",IF(J135="USL League One","Pro - USL League One","Pro - Other")))),IF(H135="No",IF(K135="Amateur / Pre-Professional","Amateur / Pre-Professional","Returned to College"),"Unknown"))</f>
        <v>Unknown</v>
      </c>
      <c r="Q135" s="1" t="str">
        <f aca="false">IF(E135="Yes","Yes","No")</f>
        <v>No</v>
      </c>
      <c r="R135" s="1" t="str">
        <f aca="false">IF(H135="Yes","Yes","No")</f>
        <v>No</v>
      </c>
      <c r="S135" s="2" t="s">
        <v>602</v>
      </c>
      <c r="T135" s="2" t="s">
        <v>35</v>
      </c>
      <c r="U135" s="2" t="s">
        <v>36</v>
      </c>
    </row>
    <row r="136" customFormat="false" ht="27.75" hidden="false" customHeight="true" outlineLevel="0" collapsed="false">
      <c r="A136" s="6" t="s">
        <v>603</v>
      </c>
      <c r="B136" s="6" t="s">
        <v>63</v>
      </c>
      <c r="C136" s="6" t="s">
        <v>477</v>
      </c>
      <c r="D136" s="6"/>
      <c r="E136" s="6" t="s">
        <v>26</v>
      </c>
      <c r="F136" s="6" t="n">
        <v>43</v>
      </c>
      <c r="G136" s="6" t="s">
        <v>604</v>
      </c>
      <c r="H136" s="6" t="s">
        <v>26</v>
      </c>
      <c r="I136" s="6" t="s">
        <v>219</v>
      </c>
      <c r="J136" s="6" t="s">
        <v>76</v>
      </c>
      <c r="K136" s="6" t="s">
        <v>29</v>
      </c>
      <c r="L136" s="6" t="s">
        <v>30</v>
      </c>
      <c r="M136" s="6" t="s">
        <v>133</v>
      </c>
      <c r="N136" s="6" t="s">
        <v>70</v>
      </c>
      <c r="O136" s="6" t="s">
        <v>71</v>
      </c>
      <c r="P136" s="1" t="str">
        <f aca="false">IF(H136="Yes",IF(J136="MLS","Pro - MLS",IF(J136="MLS NEXT Pro","Pro - MLS NEXT Pro",IF(J136="USL Championship","Pro - USL Championship",IF(J136="USL League One","Pro - USL League One","Pro - Other")))),IF(H136="No",IF(K136="Amateur / Pre-Professional","Amateur / Pre-Professional","Returned to College"),"Unknown"))</f>
        <v>Pro - MLS NEXT Pro</v>
      </c>
      <c r="Q136" s="1" t="str">
        <f aca="false">IF(E136="Yes","Yes","No")</f>
        <v>Yes</v>
      </c>
      <c r="R136" s="1" t="str">
        <f aca="false">IF(H136="Yes","Yes","No")</f>
        <v>Yes</v>
      </c>
      <c r="U136" s="2" t="s">
        <v>56</v>
      </c>
    </row>
    <row r="137" customFormat="false" ht="27.75" hidden="false" customHeight="true" outlineLevel="0" collapsed="false">
      <c r="A137" s="6" t="s">
        <v>605</v>
      </c>
      <c r="B137" s="6" t="s">
        <v>63</v>
      </c>
      <c r="C137" s="6" t="s">
        <v>606</v>
      </c>
      <c r="D137" s="6" t="s">
        <v>278</v>
      </c>
      <c r="E137" s="6" t="s">
        <v>25</v>
      </c>
      <c r="F137" s="6"/>
      <c r="G137" s="6"/>
      <c r="H137" s="6"/>
      <c r="I137" s="6"/>
      <c r="J137" s="6"/>
      <c r="K137" s="6" t="s">
        <v>88</v>
      </c>
      <c r="L137" s="6" t="s">
        <v>30</v>
      </c>
      <c r="M137" s="6"/>
      <c r="N137" s="6"/>
      <c r="O137" s="6" t="s">
        <v>71</v>
      </c>
      <c r="P137" s="1" t="str">
        <f aca="false">IF(H137="Yes",IF(J137="MLS","Pro - MLS",IF(J137="MLS NEXT Pro","Pro - MLS NEXT Pro",IF(J137="USL Championship","Pro - USL Championship",IF(J137="USL League One","Pro - USL League One","Pro - Other")))),IF(H137="No",IF(K137="Amateur / Pre-Professional","Amateur / Pre-Professional","Returned to College"),"Unknown"))</f>
        <v>Unknown</v>
      </c>
      <c r="Q137" s="1" t="str">
        <f aca="false">IF(E137="Yes","Yes","No")</f>
        <v>No</v>
      </c>
      <c r="R137" s="1" t="str">
        <f aca="false">IF(H137="Yes","Yes","No")</f>
        <v>No</v>
      </c>
      <c r="S137" s="2" t="s">
        <v>607</v>
      </c>
      <c r="T137" s="2" t="s">
        <v>35</v>
      </c>
      <c r="U137" s="2" t="s">
        <v>36</v>
      </c>
    </row>
    <row r="138" customFormat="false" ht="15" hidden="false" customHeight="true" outlineLevel="0" collapsed="false">
      <c r="A138" s="6" t="s">
        <v>608</v>
      </c>
      <c r="B138" s="6" t="s">
        <v>48</v>
      </c>
      <c r="C138" s="6" t="s">
        <v>609</v>
      </c>
      <c r="D138" s="6"/>
      <c r="E138" s="6" t="s">
        <v>25</v>
      </c>
      <c r="F138" s="6"/>
      <c r="G138" s="6"/>
      <c r="H138" s="6"/>
      <c r="I138" s="6"/>
      <c r="J138" s="6"/>
      <c r="K138" s="6" t="s">
        <v>88</v>
      </c>
      <c r="L138" s="6" t="s">
        <v>30</v>
      </c>
      <c r="M138" s="6"/>
      <c r="N138" s="6"/>
      <c r="O138" s="6" t="s">
        <v>71</v>
      </c>
      <c r="P138" s="1" t="str">
        <f aca="false">IF(H138="Yes",IF(J138="MLS","Pro - MLS",IF(J138="MLS NEXT Pro","Pro - MLS NEXT Pro",IF(J138="USL Championship","Pro - USL Championship",IF(J138="USL League One","Pro - USL League One","Pro - Other")))),IF(H138="No",IF(K138="Amateur / Pre-Professional","Amateur / Pre-Professional","Returned to College"),"Unknown"))</f>
        <v>Unknown</v>
      </c>
      <c r="Q138" s="1" t="str">
        <f aca="false">IF(E138="Yes","Yes","No")</f>
        <v>No</v>
      </c>
      <c r="R138" s="1" t="str">
        <f aca="false">IF(H138="Yes","Yes","No")</f>
        <v>No</v>
      </c>
      <c r="S138" s="2" t="s">
        <v>610</v>
      </c>
      <c r="T138" s="2" t="s">
        <v>35</v>
      </c>
      <c r="U138" s="2" t="s">
        <v>36</v>
      </c>
    </row>
    <row r="139" customFormat="false" ht="27.75" hidden="false" customHeight="true" outlineLevel="0" collapsed="false">
      <c r="A139" s="6" t="s">
        <v>611</v>
      </c>
      <c r="B139" s="6" t="s">
        <v>48</v>
      </c>
      <c r="C139" s="6" t="s">
        <v>261</v>
      </c>
      <c r="D139" s="6" t="s">
        <v>205</v>
      </c>
      <c r="E139" s="6" t="s">
        <v>26</v>
      </c>
      <c r="F139" s="6" t="n">
        <v>24</v>
      </c>
      <c r="G139" s="6" t="s">
        <v>612</v>
      </c>
      <c r="H139" s="6" t="s">
        <v>26</v>
      </c>
      <c r="I139" s="6" t="s">
        <v>613</v>
      </c>
      <c r="J139" s="6" t="s">
        <v>76</v>
      </c>
      <c r="K139" s="6" t="s">
        <v>29</v>
      </c>
      <c r="L139" s="6" t="s">
        <v>30</v>
      </c>
      <c r="M139" s="6" t="s">
        <v>133</v>
      </c>
      <c r="N139" s="6" t="s">
        <v>70</v>
      </c>
      <c r="O139" s="6" t="s">
        <v>71</v>
      </c>
      <c r="P139" s="1" t="str">
        <f aca="false">IF(H139="Yes",IF(J139="MLS","Pro - MLS",IF(J139="MLS NEXT Pro","Pro - MLS NEXT Pro",IF(J139="USL Championship","Pro - USL Championship",IF(J139="USL League One","Pro - USL League One","Pro - Other")))),IF(H139="No",IF(K139="Amateur / Pre-Professional","Amateur / Pre-Professional","Returned to College"),"Unknown"))</f>
        <v>Pro - MLS NEXT Pro</v>
      </c>
      <c r="Q139" s="1" t="str">
        <f aca="false">IF(E139="Yes","Yes","No")</f>
        <v>Yes</v>
      </c>
      <c r="R139" s="1" t="str">
        <f aca="false">IF(H139="Yes","Yes","No")</f>
        <v>Yes</v>
      </c>
      <c r="U139" s="2" t="s">
        <v>56</v>
      </c>
    </row>
    <row r="140" customFormat="false" ht="15" hidden="false" customHeight="true" outlineLevel="0" collapsed="false">
      <c r="A140" s="6" t="s">
        <v>614</v>
      </c>
      <c r="B140" s="6" t="s">
        <v>38</v>
      </c>
      <c r="C140" s="6" t="s">
        <v>400</v>
      </c>
      <c r="D140" s="6"/>
      <c r="E140" s="6" t="s">
        <v>25</v>
      </c>
      <c r="F140" s="6"/>
      <c r="G140" s="6"/>
      <c r="H140" s="6"/>
      <c r="I140" s="6"/>
      <c r="J140" s="6"/>
      <c r="K140" s="6" t="s">
        <v>88</v>
      </c>
      <c r="L140" s="6" t="s">
        <v>30</v>
      </c>
      <c r="M140" s="6"/>
      <c r="N140" s="6"/>
      <c r="O140" s="6" t="s">
        <v>71</v>
      </c>
      <c r="P140" s="1" t="str">
        <f aca="false">IF(H140="Yes",IF(J140="MLS","Pro - MLS",IF(J140="MLS NEXT Pro","Pro - MLS NEXT Pro",IF(J140="USL Championship","Pro - USL Championship",IF(J140="USL League One","Pro - USL League One","Pro - Other")))),IF(H140="No",IF(K140="Amateur / Pre-Professional","Amateur / Pre-Professional","Returned to College"),"Unknown"))</f>
        <v>Unknown</v>
      </c>
      <c r="Q140" s="1" t="str">
        <f aca="false">IF(E140="Yes","Yes","No")</f>
        <v>No</v>
      </c>
      <c r="R140" s="1" t="str">
        <f aca="false">IF(H140="Yes","Yes","No")</f>
        <v>No</v>
      </c>
      <c r="S140" s="2" t="s">
        <v>403</v>
      </c>
      <c r="T140" s="2" t="s">
        <v>35</v>
      </c>
      <c r="U140" s="2" t="s">
        <v>36</v>
      </c>
    </row>
    <row r="141" customFormat="false" ht="15" hidden="false" customHeight="true" outlineLevel="0" collapsed="false">
      <c r="A141" s="6" t="s">
        <v>615</v>
      </c>
      <c r="B141" s="6" t="s">
        <v>22</v>
      </c>
      <c r="C141" s="6" t="s">
        <v>616</v>
      </c>
      <c r="D141" s="6"/>
      <c r="E141" s="6" t="s">
        <v>25</v>
      </c>
      <c r="F141" s="6"/>
      <c r="G141" s="6"/>
      <c r="H141" s="6" t="s">
        <v>26</v>
      </c>
      <c r="I141" s="6" t="s">
        <v>427</v>
      </c>
      <c r="J141" s="6" t="s">
        <v>76</v>
      </c>
      <c r="K141" s="6" t="s">
        <v>29</v>
      </c>
      <c r="L141" s="6" t="s">
        <v>30</v>
      </c>
      <c r="M141" s="6" t="s">
        <v>617</v>
      </c>
      <c r="N141" s="6" t="s">
        <v>618</v>
      </c>
      <c r="O141" s="6" t="s">
        <v>33</v>
      </c>
      <c r="P141" s="1" t="str">
        <f aca="false">IF(H141="Yes",IF(J141="MLS","Pro - MLS",IF(J141="MLS NEXT Pro","Pro - MLS NEXT Pro",IF(J141="USL Championship","Pro - USL Championship",IF(J141="USL League One","Pro - USL League One","Pro - Other")))),IF(H141="No",IF(K141="Amateur / Pre-Professional","Amateur / Pre-Professional","Returned to College"),"Unknown"))</f>
        <v>Pro - MLS NEXT Pro</v>
      </c>
      <c r="Q141" s="1" t="str">
        <f aca="false">IF(E141="Yes","Yes","No")</f>
        <v>No</v>
      </c>
      <c r="R141" s="1" t="str">
        <f aca="false">IF(H141="Yes","Yes","No")</f>
        <v>Yes</v>
      </c>
      <c r="S141" s="2" t="s">
        <v>619</v>
      </c>
      <c r="T141" s="2" t="s">
        <v>35</v>
      </c>
      <c r="U141" s="2" t="s">
        <v>36</v>
      </c>
    </row>
    <row r="142" customFormat="false" ht="27.75" hidden="false" customHeight="true" outlineLevel="0" collapsed="false">
      <c r="A142" s="6" t="s">
        <v>620</v>
      </c>
      <c r="B142" s="6" t="s">
        <v>48</v>
      </c>
      <c r="C142" s="6" t="s">
        <v>535</v>
      </c>
      <c r="D142" s="6"/>
      <c r="E142" s="6" t="s">
        <v>25</v>
      </c>
      <c r="F142" s="6"/>
      <c r="G142" s="6"/>
      <c r="H142" s="6" t="s">
        <v>26</v>
      </c>
      <c r="I142" s="6" t="s">
        <v>621</v>
      </c>
      <c r="J142" s="6" t="s">
        <v>28</v>
      </c>
      <c r="K142" s="6" t="s">
        <v>29</v>
      </c>
      <c r="L142" s="6" t="s">
        <v>30</v>
      </c>
      <c r="M142" s="6" t="s">
        <v>622</v>
      </c>
      <c r="N142" s="6" t="s">
        <v>623</v>
      </c>
      <c r="O142" s="6" t="s">
        <v>33</v>
      </c>
      <c r="P142" s="1" t="str">
        <f aca="false">IF(H142="Yes",IF(J142="MLS","Pro - MLS",IF(J142="MLS NEXT Pro","Pro - MLS NEXT Pro",IF(J142="USL Championship","Pro - USL Championship",IF(J142="USL League One","Pro - USL League One","Pro - Other")))),IF(H142="No",IF(K142="Amateur / Pre-Professional","Amateur / Pre-Professional","Returned to College"),"Unknown"))</f>
        <v>Pro - USL League One</v>
      </c>
      <c r="Q142" s="1" t="str">
        <f aca="false">IF(E142="Yes","Yes","No")</f>
        <v>No</v>
      </c>
      <c r="R142" s="1" t="str">
        <f aca="false">IF(H142="Yes","Yes","No")</f>
        <v>Yes</v>
      </c>
      <c r="S142" s="2" t="s">
        <v>624</v>
      </c>
      <c r="T142" s="2" t="s">
        <v>35</v>
      </c>
      <c r="U142" s="2" t="s">
        <v>36</v>
      </c>
    </row>
    <row r="143" customFormat="false" ht="27.75" hidden="false" customHeight="true" outlineLevel="0" collapsed="false">
      <c r="A143" s="6" t="s">
        <v>625</v>
      </c>
      <c r="B143" s="6" t="s">
        <v>48</v>
      </c>
      <c r="C143" s="6" t="s">
        <v>280</v>
      </c>
      <c r="D143" s="6"/>
      <c r="E143" s="6" t="s">
        <v>25</v>
      </c>
      <c r="F143" s="6"/>
      <c r="G143" s="6"/>
      <c r="H143" s="6" t="s">
        <v>26</v>
      </c>
      <c r="I143" s="6" t="s">
        <v>626</v>
      </c>
      <c r="J143" s="6" t="s">
        <v>361</v>
      </c>
      <c r="K143" s="6" t="s">
        <v>29</v>
      </c>
      <c r="L143" s="6" t="s">
        <v>30</v>
      </c>
      <c r="M143" s="6" t="s">
        <v>627</v>
      </c>
      <c r="N143" s="6" t="s">
        <v>628</v>
      </c>
      <c r="O143" s="6" t="s">
        <v>33</v>
      </c>
      <c r="P143" s="1" t="str">
        <f aca="false">IF(H143="Yes",IF(J143="MLS","Pro - MLS",IF(J143="MLS NEXT Pro","Pro - MLS NEXT Pro",IF(J143="USL Championship","Pro - USL Championship",IF(J143="USL League One","Pro - USL League One","Pro - Other")))),IF(H143="No",IF(K143="Amateur / Pre-Professional","Amateur / Pre-Professional","Returned to College"),"Unknown"))</f>
        <v>Pro - USL Championship</v>
      </c>
      <c r="Q143" s="1" t="str">
        <f aca="false">IF(E143="Yes","Yes","No")</f>
        <v>No</v>
      </c>
      <c r="R143" s="1" t="str">
        <f aca="false">IF(H143="Yes","Yes","No")</f>
        <v>Yes</v>
      </c>
      <c r="S143" s="2" t="s">
        <v>285</v>
      </c>
      <c r="T143" s="2" t="s">
        <v>35</v>
      </c>
      <c r="U143" s="2" t="s">
        <v>36</v>
      </c>
    </row>
    <row r="144" customFormat="false" ht="15" hidden="false" customHeight="true" outlineLevel="0" collapsed="false">
      <c r="A144" s="6" t="s">
        <v>629</v>
      </c>
      <c r="B144" s="6" t="s">
        <v>63</v>
      </c>
      <c r="C144" s="6" t="s">
        <v>630</v>
      </c>
      <c r="D144" s="6" t="s">
        <v>499</v>
      </c>
      <c r="E144" s="6" t="s">
        <v>25</v>
      </c>
      <c r="F144" s="6"/>
      <c r="G144" s="6"/>
      <c r="H144" s="6"/>
      <c r="I144" s="6"/>
      <c r="J144" s="6"/>
      <c r="K144" s="6" t="s">
        <v>88</v>
      </c>
      <c r="L144" s="6" t="s">
        <v>92</v>
      </c>
      <c r="M144" s="6"/>
      <c r="N144" s="6"/>
      <c r="O144" s="6" t="s">
        <v>71</v>
      </c>
      <c r="P144" s="1" t="str">
        <f aca="false">IF(H144="Yes",IF(J144="MLS","Pro - MLS",IF(J144="MLS NEXT Pro","Pro - MLS NEXT Pro",IF(J144="USL Championship","Pro - USL Championship",IF(J144="USL League One","Pro - USL League One","Pro - Other")))),IF(H144="No",IF(K144="Amateur / Pre-Professional","Amateur / Pre-Professional","Returned to College"),"Unknown"))</f>
        <v>Unknown</v>
      </c>
      <c r="Q144" s="1" t="str">
        <f aca="false">IF(E144="Yes","Yes","No")</f>
        <v>No</v>
      </c>
      <c r="R144" s="1" t="str">
        <f aca="false">IF(H144="Yes","Yes","No")</f>
        <v>No</v>
      </c>
      <c r="S144" s="2" t="s">
        <v>631</v>
      </c>
      <c r="T144" s="2" t="s">
        <v>35</v>
      </c>
      <c r="U144" s="2" t="s">
        <v>36</v>
      </c>
    </row>
    <row r="145" customFormat="false" ht="27.75" hidden="false" customHeight="true" outlineLevel="0" collapsed="false">
      <c r="A145" s="6" t="s">
        <v>632</v>
      </c>
      <c r="B145" s="6" t="s">
        <v>63</v>
      </c>
      <c r="C145" s="6" t="s">
        <v>179</v>
      </c>
      <c r="D145" s="6" t="s">
        <v>160</v>
      </c>
      <c r="E145" s="6" t="s">
        <v>25</v>
      </c>
      <c r="F145" s="6"/>
      <c r="G145" s="6"/>
      <c r="H145" s="6" t="s">
        <v>26</v>
      </c>
      <c r="I145" s="6" t="s">
        <v>349</v>
      </c>
      <c r="J145" s="6" t="s">
        <v>76</v>
      </c>
      <c r="K145" s="6" t="s">
        <v>29</v>
      </c>
      <c r="L145" s="6" t="s">
        <v>30</v>
      </c>
      <c r="M145" s="6" t="s">
        <v>633</v>
      </c>
      <c r="N145" s="6" t="s">
        <v>634</v>
      </c>
      <c r="O145" s="6" t="s">
        <v>33</v>
      </c>
      <c r="P145" s="1" t="str">
        <f aca="false">IF(H145="Yes",IF(J145="MLS","Pro - MLS",IF(J145="MLS NEXT Pro","Pro - MLS NEXT Pro",IF(J145="USL Championship","Pro - USL Championship",IF(J145="USL League One","Pro - USL League One","Pro - Other")))),IF(H145="No",IF(K145="Amateur / Pre-Professional","Amateur / Pre-Professional","Returned to College"),"Unknown"))</f>
        <v>Pro - MLS NEXT Pro</v>
      </c>
      <c r="Q145" s="1" t="str">
        <f aca="false">IF(E145="Yes","Yes","No")</f>
        <v>No</v>
      </c>
      <c r="R145" s="1" t="str">
        <f aca="false">IF(H145="Yes","Yes","No")</f>
        <v>Yes</v>
      </c>
      <c r="S145" s="2" t="s">
        <v>635</v>
      </c>
      <c r="T145" s="2" t="s">
        <v>35</v>
      </c>
      <c r="U145" s="2" t="s">
        <v>36</v>
      </c>
    </row>
    <row r="146" customFormat="false" ht="27.75" hidden="false" customHeight="true" outlineLevel="0" collapsed="false">
      <c r="A146" s="6" t="s">
        <v>636</v>
      </c>
      <c r="B146" s="6" t="s">
        <v>22</v>
      </c>
      <c r="C146" s="6" t="s">
        <v>637</v>
      </c>
      <c r="D146" s="6"/>
      <c r="E146" s="6" t="s">
        <v>25</v>
      </c>
      <c r="F146" s="6"/>
      <c r="G146" s="6"/>
      <c r="H146" s="6"/>
      <c r="I146" s="6"/>
      <c r="J146" s="6"/>
      <c r="K146" s="6" t="s">
        <v>88</v>
      </c>
      <c r="L146" s="6" t="s">
        <v>83</v>
      </c>
      <c r="M146" s="6"/>
      <c r="N146" s="6"/>
      <c r="O146" s="6" t="s">
        <v>71</v>
      </c>
      <c r="P146" s="1" t="str">
        <f aca="false">IF(H146="Yes",IF(J146="MLS","Pro - MLS",IF(J146="MLS NEXT Pro","Pro - MLS NEXT Pro",IF(J146="USL Championship","Pro - USL Championship",IF(J146="USL League One","Pro - USL League One","Pro - Other")))),IF(H146="No",IF(K146="Amateur / Pre-Professional","Amateur / Pre-Professional","Returned to College"),"Unknown"))</f>
        <v>Unknown</v>
      </c>
      <c r="Q146" s="1" t="str">
        <f aca="false">IF(E146="Yes","Yes","No")</f>
        <v>No</v>
      </c>
      <c r="R146" s="1" t="str">
        <f aca="false">IF(H146="Yes","Yes","No")</f>
        <v>No</v>
      </c>
      <c r="S146" s="2" t="s">
        <v>638</v>
      </c>
      <c r="T146" s="2" t="s">
        <v>35</v>
      </c>
      <c r="U146" s="2" t="s">
        <v>36</v>
      </c>
    </row>
    <row r="147" customFormat="false" ht="15" hidden="false" customHeight="true" outlineLevel="0" collapsed="false">
      <c r="A147" s="6" t="s">
        <v>639</v>
      </c>
      <c r="B147" s="6" t="s">
        <v>48</v>
      </c>
      <c r="C147" s="6" t="s">
        <v>305</v>
      </c>
      <c r="D147" s="6"/>
      <c r="E147" s="6" t="s">
        <v>25</v>
      </c>
      <c r="F147" s="6"/>
      <c r="G147" s="6"/>
      <c r="H147" s="6" t="s">
        <v>25</v>
      </c>
      <c r="I147" s="6" t="s">
        <v>305</v>
      </c>
      <c r="J147" s="6" t="s">
        <v>51</v>
      </c>
      <c r="K147" s="6" t="s">
        <v>52</v>
      </c>
      <c r="L147" s="6" t="s">
        <v>53</v>
      </c>
      <c r="M147" s="6" t="s">
        <v>443</v>
      </c>
      <c r="N147" s="6" t="s">
        <v>640</v>
      </c>
      <c r="O147" s="6" t="s">
        <v>33</v>
      </c>
      <c r="P147" s="1" t="str">
        <f aca="false">IF(H147="Yes",IF(J147="MLS","Pro - MLS",IF(J147="MLS NEXT Pro","Pro - MLS NEXT Pro",IF(J147="USL Championship","Pro - USL Championship",IF(J147="USL League One","Pro - USL League One","Pro - Other")))),IF(H147="No",IF(K147="Amateur / Pre-Professional","Amateur / Pre-Professional","Returned to College"),"Unknown"))</f>
        <v>Returned to College</v>
      </c>
      <c r="Q147" s="1" t="str">
        <f aca="false">IF(E147="Yes","Yes","No")</f>
        <v>No</v>
      </c>
      <c r="R147" s="1" t="str">
        <f aca="false">IF(H147="Yes","Yes","No")</f>
        <v>No</v>
      </c>
      <c r="S147" s="2" t="s">
        <v>307</v>
      </c>
      <c r="T147" s="2" t="s">
        <v>35</v>
      </c>
      <c r="U147" s="2" t="s">
        <v>36</v>
      </c>
    </row>
    <row r="148" customFormat="false" ht="27.75" hidden="false" customHeight="true" outlineLevel="0" collapsed="false">
      <c r="A148" s="6" t="s">
        <v>641</v>
      </c>
      <c r="B148" s="6" t="s">
        <v>48</v>
      </c>
      <c r="C148" s="6" t="s">
        <v>266</v>
      </c>
      <c r="D148" s="6" t="s">
        <v>24</v>
      </c>
      <c r="E148" s="6" t="s">
        <v>26</v>
      </c>
      <c r="F148" s="6" t="n">
        <v>36</v>
      </c>
      <c r="G148" s="6" t="s">
        <v>499</v>
      </c>
      <c r="H148" s="6" t="s">
        <v>26</v>
      </c>
      <c r="I148" s="6" t="s">
        <v>448</v>
      </c>
      <c r="J148" s="6" t="s">
        <v>76</v>
      </c>
      <c r="K148" s="6" t="s">
        <v>29</v>
      </c>
      <c r="L148" s="6" t="s">
        <v>30</v>
      </c>
      <c r="M148" s="6" t="s">
        <v>133</v>
      </c>
      <c r="N148" s="6" t="s">
        <v>70</v>
      </c>
      <c r="O148" s="6" t="s">
        <v>71</v>
      </c>
      <c r="P148" s="1" t="str">
        <f aca="false">IF(H148="Yes",IF(J148="MLS","Pro - MLS",IF(J148="MLS NEXT Pro","Pro - MLS NEXT Pro",IF(J148="USL Championship","Pro - USL Championship",IF(J148="USL League One","Pro - USL League One","Pro - Other")))),IF(H148="No",IF(K148="Amateur / Pre-Professional","Amateur / Pre-Professional","Returned to College"),"Unknown"))</f>
        <v>Pro - MLS NEXT Pro</v>
      </c>
      <c r="Q148" s="1" t="str">
        <f aca="false">IF(E148="Yes","Yes","No")</f>
        <v>Yes</v>
      </c>
      <c r="R148" s="1" t="str">
        <f aca="false">IF(H148="Yes","Yes","No")</f>
        <v>Yes</v>
      </c>
      <c r="U148" s="2" t="s">
        <v>56</v>
      </c>
    </row>
    <row r="149" customFormat="false" ht="27.75" hidden="false" customHeight="true" outlineLevel="0" collapsed="false">
      <c r="A149" s="6" t="s">
        <v>642</v>
      </c>
      <c r="B149" s="6" t="s">
        <v>63</v>
      </c>
      <c r="C149" s="6" t="s">
        <v>177</v>
      </c>
      <c r="D149" s="6" t="s">
        <v>306</v>
      </c>
      <c r="E149" s="6" t="s">
        <v>26</v>
      </c>
      <c r="F149" s="6" t="n">
        <v>46</v>
      </c>
      <c r="G149" s="6" t="s">
        <v>643</v>
      </c>
      <c r="H149" s="6" t="s">
        <v>25</v>
      </c>
      <c r="I149" s="6" t="s">
        <v>177</v>
      </c>
      <c r="J149" s="6" t="s">
        <v>51</v>
      </c>
      <c r="K149" s="6" t="s">
        <v>52</v>
      </c>
      <c r="L149" s="6" t="s">
        <v>83</v>
      </c>
      <c r="M149" s="6" t="s">
        <v>211</v>
      </c>
      <c r="N149" s="6" t="s">
        <v>212</v>
      </c>
      <c r="O149" s="6" t="s">
        <v>33</v>
      </c>
      <c r="P149" s="1" t="str">
        <f aca="false">IF(H149="Yes",IF(J149="MLS","Pro - MLS",IF(J149="MLS NEXT Pro","Pro - MLS NEXT Pro",IF(J149="USL Championship","Pro - USL Championship",IF(J149="USL League One","Pro - USL League One","Pro - Other")))),IF(H149="No",IF(K149="Amateur / Pre-Professional","Amateur / Pre-Professional","Returned to College"),"Unknown"))</f>
        <v>Returned to College</v>
      </c>
      <c r="Q149" s="1" t="str">
        <f aca="false">IF(E149="Yes","Yes","No")</f>
        <v>Yes</v>
      </c>
      <c r="R149" s="1" t="str">
        <f aca="false">IF(H149="Yes","Yes","No")</f>
        <v>No</v>
      </c>
      <c r="U149" s="2" t="s">
        <v>56</v>
      </c>
    </row>
    <row r="150" customFormat="false" ht="15" hidden="false" customHeight="true" outlineLevel="0" collapsed="false">
      <c r="A150" s="6" t="s">
        <v>644</v>
      </c>
      <c r="B150" s="6" t="s">
        <v>22</v>
      </c>
      <c r="C150" s="6" t="s">
        <v>123</v>
      </c>
      <c r="D150" s="6" t="s">
        <v>74</v>
      </c>
      <c r="E150" s="6" t="s">
        <v>25</v>
      </c>
      <c r="F150" s="6"/>
      <c r="G150" s="6"/>
      <c r="H150" s="6" t="s">
        <v>26</v>
      </c>
      <c r="I150" s="6" t="s">
        <v>645</v>
      </c>
      <c r="J150" s="6" t="s">
        <v>361</v>
      </c>
      <c r="K150" s="6" t="s">
        <v>29</v>
      </c>
      <c r="L150" s="6" t="s">
        <v>30</v>
      </c>
      <c r="M150" s="6" t="s">
        <v>646</v>
      </c>
      <c r="N150" s="6" t="s">
        <v>647</v>
      </c>
      <c r="O150" s="6" t="s">
        <v>33</v>
      </c>
      <c r="P150" s="1" t="str">
        <f aca="false">IF(H150="Yes",IF(J150="MLS","Pro - MLS",IF(J150="MLS NEXT Pro","Pro - MLS NEXT Pro",IF(J150="USL Championship","Pro - USL Championship",IF(J150="USL League One","Pro - USL League One","Pro - Other")))),IF(H150="No",IF(K150="Amateur / Pre-Professional","Amateur / Pre-Professional","Returned to College"),"Unknown"))</f>
        <v>Pro - USL Championship</v>
      </c>
      <c r="Q150" s="1" t="str">
        <f aca="false">IF(E150="Yes","Yes","No")</f>
        <v>No</v>
      </c>
      <c r="R150" s="1" t="str">
        <f aca="false">IF(H150="Yes","Yes","No")</f>
        <v>Yes</v>
      </c>
      <c r="S150" s="2" t="s">
        <v>648</v>
      </c>
      <c r="T150" s="2" t="s">
        <v>35</v>
      </c>
      <c r="U150" s="2" t="s">
        <v>649</v>
      </c>
    </row>
    <row r="151" customFormat="false" ht="15" hidden="false" customHeight="true" outlineLevel="0" collapsed="false">
      <c r="A151" s="6" t="s">
        <v>650</v>
      </c>
      <c r="B151" s="6" t="s">
        <v>48</v>
      </c>
      <c r="C151" s="6" t="s">
        <v>340</v>
      </c>
      <c r="D151" s="6"/>
      <c r="E151" s="6" t="s">
        <v>25</v>
      </c>
      <c r="F151" s="6"/>
      <c r="G151" s="6"/>
      <c r="H151" s="6"/>
      <c r="I151" s="6"/>
      <c r="J151" s="6"/>
      <c r="K151" s="6" t="s">
        <v>88</v>
      </c>
      <c r="L151" s="6" t="s">
        <v>30</v>
      </c>
      <c r="M151" s="6"/>
      <c r="N151" s="6"/>
      <c r="O151" s="6" t="s">
        <v>71</v>
      </c>
      <c r="P151" s="1" t="str">
        <f aca="false">IF(H151="Yes",IF(J151="MLS","Pro - MLS",IF(J151="MLS NEXT Pro","Pro - MLS NEXT Pro",IF(J151="USL Championship","Pro - USL Championship",IF(J151="USL League One","Pro - USL League One","Pro - Other")))),IF(H151="No",IF(K151="Amateur / Pre-Professional","Amateur / Pre-Professional","Returned to College"),"Unknown"))</f>
        <v>Unknown</v>
      </c>
      <c r="Q151" s="1" t="str">
        <f aca="false">IF(E151="Yes","Yes","No")</f>
        <v>No</v>
      </c>
      <c r="R151" s="1" t="str">
        <f aca="false">IF(H151="Yes","Yes","No")</f>
        <v>No</v>
      </c>
      <c r="S151" s="2" t="s">
        <v>651</v>
      </c>
      <c r="T151" s="2" t="s">
        <v>35</v>
      </c>
      <c r="U151" s="2" t="s">
        <v>36</v>
      </c>
    </row>
    <row r="152" customFormat="false" ht="15" hidden="false" customHeight="true" outlineLevel="0" collapsed="false">
      <c r="A152" s="6" t="s">
        <v>652</v>
      </c>
      <c r="B152" s="6" t="s">
        <v>63</v>
      </c>
      <c r="C152" s="6" t="s">
        <v>653</v>
      </c>
      <c r="D152" s="6" t="s">
        <v>654</v>
      </c>
      <c r="E152" s="6" t="s">
        <v>25</v>
      </c>
      <c r="F152" s="6"/>
      <c r="G152" s="6"/>
      <c r="H152" s="6" t="s">
        <v>25</v>
      </c>
      <c r="I152" s="6" t="s">
        <v>653</v>
      </c>
      <c r="J152" s="6" t="s">
        <v>51</v>
      </c>
      <c r="K152" s="6" t="s">
        <v>52</v>
      </c>
      <c r="L152" s="6" t="s">
        <v>53</v>
      </c>
      <c r="M152" s="6" t="s">
        <v>655</v>
      </c>
      <c r="N152" s="6" t="s">
        <v>656</v>
      </c>
      <c r="O152" s="6" t="s">
        <v>33</v>
      </c>
      <c r="P152" s="1" t="str">
        <f aca="false">IF(H152="Yes",IF(J152="MLS","Pro - MLS",IF(J152="MLS NEXT Pro","Pro - MLS NEXT Pro",IF(J152="USL Championship","Pro - USL Championship",IF(J152="USL League One","Pro - USL League One","Pro - Other")))),IF(H152="No",IF(K152="Amateur / Pre-Professional","Amateur / Pre-Professional","Returned to College"),"Unknown"))</f>
        <v>Returned to College</v>
      </c>
      <c r="Q152" s="1" t="str">
        <f aca="false">IF(E152="Yes","Yes","No")</f>
        <v>No</v>
      </c>
      <c r="R152" s="1" t="str">
        <f aca="false">IF(H152="Yes","Yes","No")</f>
        <v>No</v>
      </c>
      <c r="S152" s="2" t="s">
        <v>657</v>
      </c>
      <c r="T152" s="2" t="s">
        <v>35</v>
      </c>
      <c r="U152" s="2" t="s">
        <v>36</v>
      </c>
    </row>
    <row r="153" customFormat="false" ht="15" hidden="false" customHeight="true" outlineLevel="0" collapsed="false">
      <c r="A153" s="6" t="s">
        <v>658</v>
      </c>
      <c r="B153" s="6" t="s">
        <v>48</v>
      </c>
      <c r="C153" s="6" t="s">
        <v>234</v>
      </c>
      <c r="D153" s="6"/>
      <c r="E153" s="6" t="s">
        <v>25</v>
      </c>
      <c r="F153" s="6"/>
      <c r="G153" s="6"/>
      <c r="H153" s="6" t="s">
        <v>25</v>
      </c>
      <c r="I153" s="6" t="s">
        <v>234</v>
      </c>
      <c r="J153" s="6" t="s">
        <v>51</v>
      </c>
      <c r="K153" s="6" t="s">
        <v>52</v>
      </c>
      <c r="L153" s="6" t="s">
        <v>92</v>
      </c>
      <c r="M153" s="6" t="s">
        <v>659</v>
      </c>
      <c r="N153" s="6" t="s">
        <v>660</v>
      </c>
      <c r="O153" s="6" t="s">
        <v>33</v>
      </c>
      <c r="P153" s="1" t="str">
        <f aca="false">IF(H153="Yes",IF(J153="MLS","Pro - MLS",IF(J153="MLS NEXT Pro","Pro - MLS NEXT Pro",IF(J153="USL Championship","Pro - USL Championship",IF(J153="USL League One","Pro - USL League One","Pro - Other")))),IF(H153="No",IF(K153="Amateur / Pre-Professional","Amateur / Pre-Professional","Returned to College"),"Unknown"))</f>
        <v>Returned to College</v>
      </c>
      <c r="Q153" s="1" t="str">
        <f aca="false">IF(E153="Yes","Yes","No")</f>
        <v>No</v>
      </c>
      <c r="R153" s="1" t="str">
        <f aca="false">IF(H153="Yes","Yes","No")</f>
        <v>No</v>
      </c>
      <c r="S153" s="2" t="s">
        <v>661</v>
      </c>
      <c r="T153" s="2" t="s">
        <v>35</v>
      </c>
      <c r="U153" s="2" t="s">
        <v>238</v>
      </c>
    </row>
    <row r="154" customFormat="false" ht="15" hidden="false" customHeight="true" outlineLevel="0" collapsed="false">
      <c r="A154" s="6" t="s">
        <v>662</v>
      </c>
      <c r="B154" s="6" t="s">
        <v>22</v>
      </c>
      <c r="C154" s="6" t="s">
        <v>400</v>
      </c>
      <c r="D154" s="6" t="s">
        <v>548</v>
      </c>
      <c r="E154" s="6" t="s">
        <v>25</v>
      </c>
      <c r="F154" s="6"/>
      <c r="G154" s="6"/>
      <c r="H154" s="6"/>
      <c r="I154" s="6"/>
      <c r="J154" s="6"/>
      <c r="K154" s="6" t="s">
        <v>88</v>
      </c>
      <c r="L154" s="6" t="s">
        <v>30</v>
      </c>
      <c r="M154" s="6"/>
      <c r="N154" s="6"/>
      <c r="O154" s="6" t="s">
        <v>71</v>
      </c>
      <c r="P154" s="1" t="str">
        <f aca="false">IF(H154="Yes",IF(J154="MLS","Pro - MLS",IF(J154="MLS NEXT Pro","Pro - MLS NEXT Pro",IF(J154="USL Championship","Pro - USL Championship",IF(J154="USL League One","Pro - USL League One","Pro - Other")))),IF(H154="No",IF(K154="Amateur / Pre-Professional","Amateur / Pre-Professional","Returned to College"),"Unknown"))</f>
        <v>Unknown</v>
      </c>
      <c r="Q154" s="1" t="str">
        <f aca="false">IF(E154="Yes","Yes","No")</f>
        <v>No</v>
      </c>
      <c r="R154" s="1" t="str">
        <f aca="false">IF(H154="Yes","Yes","No")</f>
        <v>No</v>
      </c>
      <c r="S154" s="2" t="s">
        <v>403</v>
      </c>
      <c r="T154" s="2" t="s">
        <v>35</v>
      </c>
      <c r="U154" s="2" t="s">
        <v>36</v>
      </c>
    </row>
    <row r="155" customFormat="false" ht="15" hidden="false" customHeight="true" outlineLevel="0" collapsed="false">
      <c r="A155" s="6" t="s">
        <v>663</v>
      </c>
      <c r="B155" s="6" t="s">
        <v>22</v>
      </c>
      <c r="C155" s="6" t="s">
        <v>174</v>
      </c>
      <c r="D155" s="6" t="s">
        <v>137</v>
      </c>
      <c r="E155" s="6" t="s">
        <v>25</v>
      </c>
      <c r="F155" s="6"/>
      <c r="G155" s="6"/>
      <c r="H155" s="6"/>
      <c r="I155" s="6"/>
      <c r="J155" s="6"/>
      <c r="K155" s="6" t="s">
        <v>88</v>
      </c>
      <c r="L155" s="6" t="s">
        <v>30</v>
      </c>
      <c r="M155" s="6"/>
      <c r="N155" s="6"/>
      <c r="O155" s="6" t="s">
        <v>71</v>
      </c>
      <c r="P155" s="1" t="str">
        <f aca="false">IF(H155="Yes",IF(J155="MLS","Pro - MLS",IF(J155="MLS NEXT Pro","Pro - MLS NEXT Pro",IF(J155="USL Championship","Pro - USL Championship",IF(J155="USL League One","Pro - USL League One","Pro - Other")))),IF(H155="No",IF(K155="Amateur / Pre-Professional","Amateur / Pre-Professional","Returned to College"),"Unknown"))</f>
        <v>Unknown</v>
      </c>
      <c r="Q155" s="1" t="str">
        <f aca="false">IF(E155="Yes","Yes","No")</f>
        <v>No</v>
      </c>
      <c r="R155" s="1" t="str">
        <f aca="false">IF(H155="Yes","Yes","No")</f>
        <v>No</v>
      </c>
      <c r="S155" s="2" t="s">
        <v>664</v>
      </c>
      <c r="T155" s="2" t="s">
        <v>35</v>
      </c>
      <c r="U155" s="2" t="s">
        <v>36</v>
      </c>
    </row>
    <row r="156" customFormat="false" ht="15" hidden="false" customHeight="true" outlineLevel="0" collapsed="false">
      <c r="A156" s="6" t="s">
        <v>665</v>
      </c>
      <c r="B156" s="6" t="s">
        <v>48</v>
      </c>
      <c r="C156" s="6" t="s">
        <v>148</v>
      </c>
      <c r="D156" s="6"/>
      <c r="E156" s="6" t="s">
        <v>25</v>
      </c>
      <c r="F156" s="6"/>
      <c r="G156" s="6"/>
      <c r="H156" s="6" t="s">
        <v>25</v>
      </c>
      <c r="I156" s="6" t="s">
        <v>666</v>
      </c>
      <c r="J156" s="6" t="s">
        <v>51</v>
      </c>
      <c r="K156" s="6" t="s">
        <v>52</v>
      </c>
      <c r="L156" s="6" t="s">
        <v>667</v>
      </c>
      <c r="M156" s="6" t="s">
        <v>668</v>
      </c>
      <c r="N156" s="6" t="s">
        <v>669</v>
      </c>
      <c r="O156" s="6" t="s">
        <v>33</v>
      </c>
      <c r="P156" s="1" t="str">
        <f aca="false">IF(H156="Yes",IF(J156="MLS","Pro - MLS",IF(J156="MLS NEXT Pro","Pro - MLS NEXT Pro",IF(J156="USL Championship","Pro - USL Championship",IF(J156="USL League One","Pro - USL League One","Pro - Other")))),IF(H156="No",IF(K156="Amateur / Pre-Professional","Amateur / Pre-Professional","Returned to College"),"Unknown"))</f>
        <v>Returned to College</v>
      </c>
      <c r="Q156" s="1" t="str">
        <f aca="false">IF(E156="Yes","Yes","No")</f>
        <v>No</v>
      </c>
      <c r="R156" s="1" t="str">
        <f aca="false">IF(H156="Yes","Yes","No")</f>
        <v>No</v>
      </c>
      <c r="S156" s="2" t="s">
        <v>670</v>
      </c>
      <c r="T156" s="2" t="s">
        <v>35</v>
      </c>
      <c r="U156" s="2" t="s">
        <v>153</v>
      </c>
    </row>
    <row r="157" customFormat="false" ht="27.75" hidden="false" customHeight="true" outlineLevel="0" collapsed="false">
      <c r="A157" s="6" t="s">
        <v>671</v>
      </c>
      <c r="B157" s="6" t="s">
        <v>22</v>
      </c>
      <c r="C157" s="6" t="s">
        <v>447</v>
      </c>
      <c r="D157" s="6" t="s">
        <v>542</v>
      </c>
      <c r="E157" s="6" t="s">
        <v>26</v>
      </c>
      <c r="F157" s="6" t="n">
        <v>45</v>
      </c>
      <c r="G157" s="6" t="s">
        <v>74</v>
      </c>
      <c r="H157" s="6" t="s">
        <v>26</v>
      </c>
      <c r="I157" s="6" t="s">
        <v>583</v>
      </c>
      <c r="J157" s="6" t="s">
        <v>76</v>
      </c>
      <c r="K157" s="6" t="s">
        <v>29</v>
      </c>
      <c r="L157" s="6" t="s">
        <v>30</v>
      </c>
      <c r="M157" s="6" t="s">
        <v>133</v>
      </c>
      <c r="N157" s="6" t="s">
        <v>70</v>
      </c>
      <c r="O157" s="6" t="s">
        <v>71</v>
      </c>
      <c r="P157" s="1" t="str">
        <f aca="false">IF(H157="Yes",IF(J157="MLS","Pro - MLS",IF(J157="MLS NEXT Pro","Pro - MLS NEXT Pro",IF(J157="USL Championship","Pro - USL Championship",IF(J157="USL League One","Pro - USL League One","Pro - Other")))),IF(H157="No",IF(K157="Amateur / Pre-Professional","Amateur / Pre-Professional","Returned to College"),"Unknown"))</f>
        <v>Pro - MLS NEXT Pro</v>
      </c>
      <c r="Q157" s="1" t="str">
        <f aca="false">IF(E157="Yes","Yes","No")</f>
        <v>Yes</v>
      </c>
      <c r="R157" s="1" t="str">
        <f aca="false">IF(H157="Yes","Yes","No")</f>
        <v>Yes</v>
      </c>
      <c r="U157" s="2" t="s">
        <v>56</v>
      </c>
    </row>
    <row r="158" customFormat="false" ht="15" hidden="false" customHeight="true" outlineLevel="0" collapsed="false">
      <c r="A158" s="6" t="s">
        <v>672</v>
      </c>
      <c r="B158" s="6" t="s">
        <v>48</v>
      </c>
      <c r="C158" s="6" t="s">
        <v>214</v>
      </c>
      <c r="D158" s="6" t="s">
        <v>205</v>
      </c>
      <c r="E158" s="6" t="s">
        <v>25</v>
      </c>
      <c r="F158" s="6"/>
      <c r="G158" s="6"/>
      <c r="H158" s="6" t="s">
        <v>25</v>
      </c>
      <c r="I158" s="6" t="s">
        <v>214</v>
      </c>
      <c r="J158" s="6" t="s">
        <v>51</v>
      </c>
      <c r="K158" s="6" t="s">
        <v>52</v>
      </c>
      <c r="L158" s="6" t="s">
        <v>83</v>
      </c>
      <c r="M158" s="6" t="s">
        <v>215</v>
      </c>
      <c r="N158" s="6" t="s">
        <v>673</v>
      </c>
      <c r="O158" s="6" t="s">
        <v>33</v>
      </c>
      <c r="P158" s="1" t="str">
        <f aca="false">IF(H158="Yes",IF(J158="MLS","Pro - MLS",IF(J158="MLS NEXT Pro","Pro - MLS NEXT Pro",IF(J158="USL Championship","Pro - USL Championship",IF(J158="USL League One","Pro - USL League One","Pro - Other")))),IF(H158="No",IF(K158="Amateur / Pre-Professional","Amateur / Pre-Professional","Returned to College"),"Unknown"))</f>
        <v>Returned to College</v>
      </c>
      <c r="Q158" s="1" t="str">
        <f aca="false">IF(E158="Yes","Yes","No")</f>
        <v>No</v>
      </c>
      <c r="R158" s="1" t="str">
        <f aca="false">IF(H158="Yes","Yes","No")</f>
        <v>No</v>
      </c>
      <c r="S158" s="2" t="s">
        <v>674</v>
      </c>
      <c r="T158" s="2" t="s">
        <v>35</v>
      </c>
      <c r="U158" s="2" t="s">
        <v>36</v>
      </c>
    </row>
    <row r="159" customFormat="false" ht="15" hidden="false" customHeight="true" outlineLevel="0" collapsed="false">
      <c r="A159" s="6" t="s">
        <v>675</v>
      </c>
      <c r="B159" s="6" t="s">
        <v>63</v>
      </c>
      <c r="C159" s="6" t="s">
        <v>653</v>
      </c>
      <c r="D159" s="6" t="s">
        <v>65</v>
      </c>
      <c r="E159" s="6" t="s">
        <v>25</v>
      </c>
      <c r="F159" s="6"/>
      <c r="G159" s="6"/>
      <c r="H159" s="6"/>
      <c r="I159" s="6"/>
      <c r="J159" s="6"/>
      <c r="K159" s="6" t="s">
        <v>88</v>
      </c>
      <c r="L159" s="6" t="s">
        <v>30</v>
      </c>
      <c r="M159" s="6"/>
      <c r="N159" s="6"/>
      <c r="O159" s="6" t="s">
        <v>71</v>
      </c>
      <c r="P159" s="1" t="str">
        <f aca="false">IF(H159="Yes",IF(J159="MLS","Pro - MLS",IF(J159="MLS NEXT Pro","Pro - MLS NEXT Pro",IF(J159="USL Championship","Pro - USL Championship",IF(J159="USL League One","Pro - USL League One","Pro - Other")))),IF(H159="No",IF(K159="Amateur / Pre-Professional","Amateur / Pre-Professional","Returned to College"),"Unknown"))</f>
        <v>Unknown</v>
      </c>
      <c r="Q159" s="1" t="str">
        <f aca="false">IF(E159="Yes","Yes","No")</f>
        <v>No</v>
      </c>
      <c r="R159" s="1" t="str">
        <f aca="false">IF(H159="Yes","Yes","No")</f>
        <v>No</v>
      </c>
      <c r="S159" s="2" t="s">
        <v>676</v>
      </c>
      <c r="T159" s="2" t="s">
        <v>35</v>
      </c>
      <c r="U159" s="2" t="s">
        <v>36</v>
      </c>
    </row>
    <row r="160" customFormat="false" ht="15" hidden="false" customHeight="true" outlineLevel="0" collapsed="false">
      <c r="A160" s="6" t="s">
        <v>677</v>
      </c>
      <c r="B160" s="6" t="s">
        <v>48</v>
      </c>
      <c r="C160" s="6" t="s">
        <v>678</v>
      </c>
      <c r="D160" s="6" t="s">
        <v>306</v>
      </c>
      <c r="E160" s="6" t="s">
        <v>25</v>
      </c>
      <c r="F160" s="6"/>
      <c r="G160" s="6"/>
      <c r="H160" s="6"/>
      <c r="I160" s="6"/>
      <c r="J160" s="6"/>
      <c r="K160" s="6" t="s">
        <v>88</v>
      </c>
      <c r="L160" s="6" t="s">
        <v>30</v>
      </c>
      <c r="M160" s="6"/>
      <c r="N160" s="6"/>
      <c r="O160" s="6" t="s">
        <v>71</v>
      </c>
      <c r="P160" s="1" t="str">
        <f aca="false">IF(H160="Yes",IF(J160="MLS","Pro - MLS",IF(J160="MLS NEXT Pro","Pro - MLS NEXT Pro",IF(J160="USL Championship","Pro - USL Championship",IF(J160="USL League One","Pro - USL League One","Pro - Other")))),IF(H160="No",IF(K160="Amateur / Pre-Professional","Amateur / Pre-Professional","Returned to College"),"Unknown"))</f>
        <v>Unknown</v>
      </c>
      <c r="Q160" s="1" t="str">
        <f aca="false">IF(E160="Yes","Yes","No")</f>
        <v>No</v>
      </c>
      <c r="R160" s="1" t="str">
        <f aca="false">IF(H160="Yes","Yes","No")</f>
        <v>No</v>
      </c>
      <c r="S160" s="2" t="s">
        <v>679</v>
      </c>
      <c r="T160" s="2" t="s">
        <v>35</v>
      </c>
      <c r="U160" s="2" t="s">
        <v>680</v>
      </c>
    </row>
    <row r="161" customFormat="false" ht="27.75" hidden="false" customHeight="true" outlineLevel="0" collapsed="false">
      <c r="A161" s="6" t="s">
        <v>681</v>
      </c>
      <c r="B161" s="6" t="s">
        <v>22</v>
      </c>
      <c r="C161" s="6" t="s">
        <v>140</v>
      </c>
      <c r="D161" s="6"/>
      <c r="E161" s="6" t="s">
        <v>25</v>
      </c>
      <c r="F161" s="6"/>
      <c r="G161" s="6"/>
      <c r="H161" s="6" t="s">
        <v>25</v>
      </c>
      <c r="I161" s="6" t="s">
        <v>140</v>
      </c>
      <c r="J161" s="6" t="s">
        <v>51</v>
      </c>
      <c r="K161" s="6" t="s">
        <v>52</v>
      </c>
      <c r="L161" s="6" t="s">
        <v>53</v>
      </c>
      <c r="M161" s="6" t="s">
        <v>141</v>
      </c>
      <c r="N161" s="6" t="s">
        <v>682</v>
      </c>
      <c r="O161" s="6" t="s">
        <v>33</v>
      </c>
      <c r="P161" s="1" t="str">
        <f aca="false">IF(H161="Yes",IF(J161="MLS","Pro - MLS",IF(J161="MLS NEXT Pro","Pro - MLS NEXT Pro",IF(J161="USL Championship","Pro - USL Championship",IF(J161="USL League One","Pro - USL League One","Pro - Other")))),IF(H161="No",IF(K161="Amateur / Pre-Professional","Amateur / Pre-Professional","Returned to College"),"Unknown"))</f>
        <v>Returned to College</v>
      </c>
      <c r="Q161" s="1" t="str">
        <f aca="false">IF(E161="Yes","Yes","No")</f>
        <v>No</v>
      </c>
      <c r="R161" s="1" t="str">
        <f aca="false">IF(H161="Yes","Yes","No")</f>
        <v>No</v>
      </c>
      <c r="S161" s="2" t="s">
        <v>143</v>
      </c>
      <c r="T161" s="2" t="s">
        <v>35</v>
      </c>
      <c r="U161" s="2" t="s">
        <v>36</v>
      </c>
    </row>
    <row r="162" customFormat="false" ht="27.75" hidden="false" customHeight="true" outlineLevel="0" collapsed="false">
      <c r="A162" s="6" t="s">
        <v>683</v>
      </c>
      <c r="B162" s="6" t="s">
        <v>22</v>
      </c>
      <c r="C162" s="6" t="s">
        <v>64</v>
      </c>
      <c r="D162" s="6" t="s">
        <v>65</v>
      </c>
      <c r="E162" s="6" t="s">
        <v>26</v>
      </c>
      <c r="F162" s="6" t="n">
        <v>27</v>
      </c>
      <c r="G162" s="6" t="s">
        <v>521</v>
      </c>
      <c r="H162" s="6" t="s">
        <v>25</v>
      </c>
      <c r="I162" s="6" t="s">
        <v>64</v>
      </c>
      <c r="J162" s="6" t="s">
        <v>51</v>
      </c>
      <c r="K162" s="6" t="s">
        <v>425</v>
      </c>
      <c r="L162" s="6" t="s">
        <v>53</v>
      </c>
      <c r="M162" s="6" t="s">
        <v>133</v>
      </c>
      <c r="N162" s="6" t="s">
        <v>70</v>
      </c>
      <c r="O162" s="6" t="s">
        <v>71</v>
      </c>
      <c r="P162" s="1" t="str">
        <f aca="false">IF(H162="Yes",IF(J162="MLS","Pro - MLS",IF(J162="MLS NEXT Pro","Pro - MLS NEXT Pro",IF(J162="USL Championship","Pro - USL Championship",IF(J162="USL League One","Pro - USL League One","Pro - Other")))),IF(H162="No",IF(K162="Amateur / Pre-Professional","Amateur / Pre-Professional","Returned to College"),"Unknown"))</f>
        <v>Returned to College</v>
      </c>
      <c r="Q162" s="1" t="str">
        <f aca="false">IF(E162="Yes","Yes","No")</f>
        <v>Yes</v>
      </c>
      <c r="R162" s="1" t="str">
        <f aca="false">IF(H162="Yes","Yes","No")</f>
        <v>No</v>
      </c>
      <c r="U162" s="2" t="s">
        <v>56</v>
      </c>
    </row>
    <row r="163" customFormat="false" ht="15" hidden="false" customHeight="true" outlineLevel="0" collapsed="false">
      <c r="A163" s="6" t="s">
        <v>684</v>
      </c>
      <c r="B163" s="6" t="s">
        <v>48</v>
      </c>
      <c r="C163" s="6" t="s">
        <v>250</v>
      </c>
      <c r="D163" s="6" t="s">
        <v>601</v>
      </c>
      <c r="E163" s="6" t="s">
        <v>25</v>
      </c>
      <c r="F163" s="6"/>
      <c r="G163" s="6"/>
      <c r="H163" s="6"/>
      <c r="I163" s="6"/>
      <c r="J163" s="6"/>
      <c r="K163" s="6" t="s">
        <v>88</v>
      </c>
      <c r="L163" s="6" t="s">
        <v>43</v>
      </c>
      <c r="M163" s="6"/>
      <c r="N163" s="6"/>
      <c r="O163" s="6" t="s">
        <v>71</v>
      </c>
      <c r="P163" s="1" t="str">
        <f aca="false">IF(H163="Yes",IF(J163="MLS","Pro - MLS",IF(J163="MLS NEXT Pro","Pro - MLS NEXT Pro",IF(J163="USL Championship","Pro - USL Championship",IF(J163="USL League One","Pro - USL League One","Pro - Other")))),IF(H163="No",IF(K163="Amateur / Pre-Professional","Amateur / Pre-Professional","Returned to College"),"Unknown"))</f>
        <v>Unknown</v>
      </c>
      <c r="Q163" s="1" t="str">
        <f aca="false">IF(E163="Yes","Yes","No")</f>
        <v>No</v>
      </c>
      <c r="R163" s="1" t="str">
        <f aca="false">IF(H163="Yes","Yes","No")</f>
        <v>No</v>
      </c>
      <c r="S163" s="2" t="s">
        <v>685</v>
      </c>
      <c r="T163" s="2" t="s">
        <v>35</v>
      </c>
      <c r="U163" s="2" t="s">
        <v>36</v>
      </c>
    </row>
    <row r="164" customFormat="false" ht="15" hidden="false" customHeight="true" outlineLevel="0" collapsed="false">
      <c r="A164" s="6" t="s">
        <v>686</v>
      </c>
      <c r="B164" s="6" t="s">
        <v>48</v>
      </c>
      <c r="C164" s="6" t="s">
        <v>687</v>
      </c>
      <c r="D164" s="6"/>
      <c r="E164" s="6" t="s">
        <v>25</v>
      </c>
      <c r="F164" s="6"/>
      <c r="G164" s="6"/>
      <c r="H164" s="6"/>
      <c r="I164" s="6"/>
      <c r="J164" s="6"/>
      <c r="K164" s="6" t="s">
        <v>88</v>
      </c>
      <c r="L164" s="6" t="s">
        <v>30</v>
      </c>
      <c r="M164" s="6"/>
      <c r="N164" s="6"/>
      <c r="O164" s="6" t="s">
        <v>71</v>
      </c>
      <c r="P164" s="1" t="str">
        <f aca="false">IF(H164="Yes",IF(J164="MLS","Pro - MLS",IF(J164="MLS NEXT Pro","Pro - MLS NEXT Pro",IF(J164="USL Championship","Pro - USL Championship",IF(J164="USL League One","Pro - USL League One","Pro - Other")))),IF(H164="No",IF(K164="Amateur / Pre-Professional","Amateur / Pre-Professional","Returned to College"),"Unknown"))</f>
        <v>Unknown</v>
      </c>
      <c r="Q164" s="1" t="str">
        <f aca="false">IF(E164="Yes","Yes","No")</f>
        <v>No</v>
      </c>
      <c r="R164" s="1" t="str">
        <f aca="false">IF(H164="Yes","Yes","No")</f>
        <v>No</v>
      </c>
      <c r="S164" s="2" t="s">
        <v>688</v>
      </c>
      <c r="T164" s="2" t="s">
        <v>35</v>
      </c>
      <c r="U164" s="2" t="s">
        <v>36</v>
      </c>
    </row>
    <row r="165" customFormat="false" ht="15" hidden="false" customHeight="true" outlineLevel="0" collapsed="false">
      <c r="A165" s="6" t="s">
        <v>689</v>
      </c>
      <c r="B165" s="6" t="s">
        <v>63</v>
      </c>
      <c r="C165" s="6" t="s">
        <v>586</v>
      </c>
      <c r="D165" s="6" t="s">
        <v>224</v>
      </c>
      <c r="E165" s="6" t="s">
        <v>25</v>
      </c>
      <c r="F165" s="6"/>
      <c r="G165" s="6"/>
      <c r="H165" s="6"/>
      <c r="I165" s="6"/>
      <c r="J165" s="6"/>
      <c r="K165" s="6" t="s">
        <v>88</v>
      </c>
      <c r="L165" s="6" t="s">
        <v>43</v>
      </c>
      <c r="M165" s="6"/>
      <c r="N165" s="6"/>
      <c r="O165" s="6" t="s">
        <v>71</v>
      </c>
      <c r="P165" s="1" t="str">
        <f aca="false">IF(H165="Yes",IF(J165="MLS","Pro - MLS",IF(J165="MLS NEXT Pro","Pro - MLS NEXT Pro",IF(J165="USL Championship","Pro - USL Championship",IF(J165="USL League One","Pro - USL League One","Pro - Other")))),IF(H165="No",IF(K165="Amateur / Pre-Professional","Amateur / Pre-Professional","Returned to College"),"Unknown"))</f>
        <v>Unknown</v>
      </c>
      <c r="Q165" s="1" t="str">
        <f aca="false">IF(E165="Yes","Yes","No")</f>
        <v>No</v>
      </c>
      <c r="R165" s="1" t="str">
        <f aca="false">IF(H165="Yes","Yes","No")</f>
        <v>No</v>
      </c>
      <c r="S165" s="2" t="s">
        <v>690</v>
      </c>
      <c r="T165" s="2" t="s">
        <v>35</v>
      </c>
      <c r="U165" s="2" t="s">
        <v>36</v>
      </c>
    </row>
    <row r="166" customFormat="false" ht="27.75" hidden="false" customHeight="true" outlineLevel="0" collapsed="false">
      <c r="A166" s="6" t="s">
        <v>691</v>
      </c>
      <c r="B166" s="6" t="s">
        <v>38</v>
      </c>
      <c r="C166" s="6" t="s">
        <v>218</v>
      </c>
      <c r="D166" s="6" t="s">
        <v>66</v>
      </c>
      <c r="E166" s="6" t="s">
        <v>25</v>
      </c>
      <c r="F166" s="6"/>
      <c r="G166" s="6"/>
      <c r="H166" s="6" t="s">
        <v>25</v>
      </c>
      <c r="I166" s="6" t="s">
        <v>218</v>
      </c>
      <c r="J166" s="6" t="s">
        <v>51</v>
      </c>
      <c r="K166" s="6" t="s">
        <v>52</v>
      </c>
      <c r="L166" s="6" t="s">
        <v>92</v>
      </c>
      <c r="M166" s="6" t="s">
        <v>692</v>
      </c>
      <c r="N166" s="6" t="s">
        <v>693</v>
      </c>
      <c r="O166" s="6" t="s">
        <v>33</v>
      </c>
      <c r="P166" s="1" t="str">
        <f aca="false">IF(H166="Yes",IF(J166="MLS","Pro - MLS",IF(J166="MLS NEXT Pro","Pro - MLS NEXT Pro",IF(J166="USL Championship","Pro - USL Championship",IF(J166="USL League One","Pro - USL League One","Pro - Other")))),IF(H166="No",IF(K166="Amateur / Pre-Professional","Amateur / Pre-Professional","Returned to College"),"Unknown"))</f>
        <v>Returned to College</v>
      </c>
      <c r="Q166" s="1" t="str">
        <f aca="false">IF(E166="Yes","Yes","No")</f>
        <v>No</v>
      </c>
      <c r="R166" s="1" t="str">
        <f aca="false">IF(H166="Yes","Yes","No")</f>
        <v>No</v>
      </c>
      <c r="S166" s="2" t="s">
        <v>222</v>
      </c>
      <c r="T166" s="2" t="s">
        <v>35</v>
      </c>
      <c r="U166" s="2" t="s">
        <v>36</v>
      </c>
    </row>
    <row r="167" customFormat="false" ht="27.75" hidden="false" customHeight="true" outlineLevel="0" collapsed="false">
      <c r="A167" s="6" t="s">
        <v>694</v>
      </c>
      <c r="B167" s="6" t="s">
        <v>63</v>
      </c>
      <c r="C167" s="6" t="s">
        <v>535</v>
      </c>
      <c r="D167" s="6"/>
      <c r="E167" s="6" t="s">
        <v>26</v>
      </c>
      <c r="F167" s="6" t="n">
        <v>20</v>
      </c>
      <c r="G167" s="6" t="s">
        <v>306</v>
      </c>
      <c r="H167" s="6" t="s">
        <v>26</v>
      </c>
      <c r="I167" s="6" t="s">
        <v>695</v>
      </c>
      <c r="J167" s="6" t="s">
        <v>76</v>
      </c>
      <c r="K167" s="6" t="s">
        <v>29</v>
      </c>
      <c r="L167" s="6" t="s">
        <v>53</v>
      </c>
      <c r="M167" s="6" t="s">
        <v>133</v>
      </c>
      <c r="N167" s="6" t="s">
        <v>70</v>
      </c>
      <c r="O167" s="6" t="s">
        <v>71</v>
      </c>
      <c r="P167" s="1" t="str">
        <f aca="false">IF(H167="Yes",IF(J167="MLS","Pro - MLS",IF(J167="MLS NEXT Pro","Pro - MLS NEXT Pro",IF(J167="USL Championship","Pro - USL Championship",IF(J167="USL League One","Pro - USL League One","Pro - Other")))),IF(H167="No",IF(K167="Amateur / Pre-Professional","Amateur / Pre-Professional","Returned to College"),"Unknown"))</f>
        <v>Pro - MLS NEXT Pro</v>
      </c>
      <c r="Q167" s="1" t="str">
        <f aca="false">IF(E167="Yes","Yes","No")</f>
        <v>Yes</v>
      </c>
      <c r="R167" s="1" t="str">
        <f aca="false">IF(H167="Yes","Yes","No")</f>
        <v>Yes</v>
      </c>
      <c r="U167" s="2" t="s">
        <v>56</v>
      </c>
    </row>
    <row r="168" customFormat="false" ht="15" hidden="false" customHeight="true" outlineLevel="0" collapsed="false">
      <c r="A168" s="6" t="s">
        <v>696</v>
      </c>
      <c r="B168" s="6" t="s">
        <v>63</v>
      </c>
      <c r="C168" s="6" t="s">
        <v>405</v>
      </c>
      <c r="D168" s="6" t="s">
        <v>120</v>
      </c>
      <c r="E168" s="6" t="s">
        <v>25</v>
      </c>
      <c r="F168" s="6"/>
      <c r="G168" s="6"/>
      <c r="H168" s="6" t="s">
        <v>26</v>
      </c>
      <c r="I168" s="6" t="s">
        <v>27</v>
      </c>
      <c r="J168" s="6" t="s">
        <v>28</v>
      </c>
      <c r="K168" s="6" t="s">
        <v>29</v>
      </c>
      <c r="L168" s="6" t="s">
        <v>30</v>
      </c>
      <c r="M168" s="6" t="s">
        <v>697</v>
      </c>
      <c r="N168" s="6" t="s">
        <v>698</v>
      </c>
      <c r="O168" s="6" t="s">
        <v>33</v>
      </c>
      <c r="P168" s="1" t="str">
        <f aca="false">IF(H168="Yes",IF(J168="MLS","Pro - MLS",IF(J168="MLS NEXT Pro","Pro - MLS NEXT Pro",IF(J168="USL Championship","Pro - USL Championship",IF(J168="USL League One","Pro - USL League One","Pro - Other")))),IF(H168="No",IF(K168="Amateur / Pre-Professional","Amateur / Pre-Professional","Returned to College"),"Unknown"))</f>
        <v>Pro - USL League One</v>
      </c>
      <c r="Q168" s="1" t="str">
        <f aca="false">IF(E168="Yes","Yes","No")</f>
        <v>No</v>
      </c>
      <c r="R168" s="1" t="str">
        <f aca="false">IF(H168="Yes","Yes","No")</f>
        <v>Yes</v>
      </c>
      <c r="S168" s="2" t="s">
        <v>699</v>
      </c>
      <c r="T168" s="2" t="s">
        <v>35</v>
      </c>
      <c r="U168" s="2" t="s">
        <v>36</v>
      </c>
    </row>
    <row r="169" customFormat="false" ht="27.75" hidden="false" customHeight="true" outlineLevel="0" collapsed="false">
      <c r="A169" s="6" t="s">
        <v>700</v>
      </c>
      <c r="B169" s="6" t="s">
        <v>48</v>
      </c>
      <c r="C169" s="6" t="s">
        <v>405</v>
      </c>
      <c r="D169" s="6"/>
      <c r="E169" s="6" t="s">
        <v>26</v>
      </c>
      <c r="F169" s="6" t="n">
        <v>79</v>
      </c>
      <c r="G169" s="6" t="s">
        <v>601</v>
      </c>
      <c r="H169" s="6" t="s">
        <v>26</v>
      </c>
      <c r="I169" s="6" t="s">
        <v>149</v>
      </c>
      <c r="J169" s="6" t="s">
        <v>76</v>
      </c>
      <c r="K169" s="6" t="s">
        <v>29</v>
      </c>
      <c r="L169" s="6" t="s">
        <v>83</v>
      </c>
      <c r="M169" s="6" t="s">
        <v>133</v>
      </c>
      <c r="N169" s="6" t="s">
        <v>70</v>
      </c>
      <c r="O169" s="6" t="s">
        <v>71</v>
      </c>
      <c r="P169" s="1" t="str">
        <f aca="false">IF(H169="Yes",IF(J169="MLS","Pro - MLS",IF(J169="MLS NEXT Pro","Pro - MLS NEXT Pro",IF(J169="USL Championship","Pro - USL Championship",IF(J169="USL League One","Pro - USL League One","Pro - Other")))),IF(H169="No",IF(K169="Amateur / Pre-Professional","Amateur / Pre-Professional","Returned to College"),"Unknown"))</f>
        <v>Pro - MLS NEXT Pro</v>
      </c>
      <c r="Q169" s="1" t="str">
        <f aca="false">IF(E169="Yes","Yes","No")</f>
        <v>Yes</v>
      </c>
      <c r="R169" s="1" t="str">
        <f aca="false">IF(H169="Yes","Yes","No")</f>
        <v>Yes</v>
      </c>
      <c r="U169" s="2" t="s">
        <v>56</v>
      </c>
    </row>
    <row r="170" customFormat="false" ht="15" hidden="false" customHeight="true" outlineLevel="0" collapsed="false">
      <c r="A170" s="6" t="s">
        <v>701</v>
      </c>
      <c r="B170" s="6" t="s">
        <v>48</v>
      </c>
      <c r="C170" s="6" t="s">
        <v>177</v>
      </c>
      <c r="D170" s="6" t="s">
        <v>178</v>
      </c>
      <c r="E170" s="6" t="s">
        <v>25</v>
      </c>
      <c r="F170" s="6"/>
      <c r="G170" s="6"/>
      <c r="H170" s="6" t="s">
        <v>25</v>
      </c>
      <c r="I170" s="6" t="s">
        <v>177</v>
      </c>
      <c r="J170" s="6" t="s">
        <v>51</v>
      </c>
      <c r="K170" s="6" t="s">
        <v>52</v>
      </c>
      <c r="L170" s="6" t="s">
        <v>83</v>
      </c>
      <c r="M170" s="6" t="s">
        <v>211</v>
      </c>
      <c r="N170" s="6" t="s">
        <v>212</v>
      </c>
      <c r="O170" s="6" t="s">
        <v>33</v>
      </c>
      <c r="P170" s="1" t="str">
        <f aca="false">IF(H170="Yes",IF(J170="MLS","Pro - MLS",IF(J170="MLS NEXT Pro","Pro - MLS NEXT Pro",IF(J170="USL Championship","Pro - USL Championship",IF(J170="USL League One","Pro - USL League One","Pro - Other")))),IF(H170="No",IF(K170="Amateur / Pre-Professional","Amateur / Pre-Professional","Returned to College"),"Unknown"))</f>
        <v>Returned to College</v>
      </c>
      <c r="Q170" s="1" t="str">
        <f aca="false">IF(E170="Yes","Yes","No")</f>
        <v>No</v>
      </c>
      <c r="R170" s="1" t="str">
        <f aca="false">IF(H170="Yes","Yes","No")</f>
        <v>No</v>
      </c>
      <c r="S170" s="2" t="s">
        <v>182</v>
      </c>
      <c r="T170" s="2" t="s">
        <v>35</v>
      </c>
      <c r="U170" s="2" t="s">
        <v>36</v>
      </c>
    </row>
    <row r="171" customFormat="false" ht="27.75" hidden="false" customHeight="true" outlineLevel="0" collapsed="false">
      <c r="A171" s="6" t="s">
        <v>702</v>
      </c>
      <c r="B171" s="6" t="s">
        <v>38</v>
      </c>
      <c r="C171" s="6" t="s">
        <v>148</v>
      </c>
      <c r="D171" s="6"/>
      <c r="E171" s="6" t="s">
        <v>26</v>
      </c>
      <c r="F171" s="6" t="n">
        <v>16</v>
      </c>
      <c r="G171" s="6" t="s">
        <v>271</v>
      </c>
      <c r="H171" s="6" t="s">
        <v>25</v>
      </c>
      <c r="I171" s="6" t="s">
        <v>148</v>
      </c>
      <c r="J171" s="6" t="s">
        <v>51</v>
      </c>
      <c r="K171" s="6" t="s">
        <v>425</v>
      </c>
      <c r="L171" s="6" t="s">
        <v>53</v>
      </c>
      <c r="M171" s="6" t="s">
        <v>133</v>
      </c>
      <c r="N171" s="6" t="s">
        <v>70</v>
      </c>
      <c r="O171" s="6" t="s">
        <v>71</v>
      </c>
      <c r="P171" s="1" t="str">
        <f aca="false">IF(H171="Yes",IF(J171="MLS","Pro - MLS",IF(J171="MLS NEXT Pro","Pro - MLS NEXT Pro",IF(J171="USL Championship","Pro - USL Championship",IF(J171="USL League One","Pro - USL League One","Pro - Other")))),IF(H171="No",IF(K171="Amateur / Pre-Professional","Amateur / Pre-Professional","Returned to College"),"Unknown"))</f>
        <v>Returned to College</v>
      </c>
      <c r="Q171" s="1" t="str">
        <f aca="false">IF(E171="Yes","Yes","No")</f>
        <v>Yes</v>
      </c>
      <c r="R171" s="1" t="str">
        <f aca="false">IF(H171="Yes","Yes","No")</f>
        <v>No</v>
      </c>
      <c r="U171" s="2" t="s">
        <v>56</v>
      </c>
    </row>
    <row r="172" customFormat="false" ht="15" hidden="false" customHeight="true" outlineLevel="0" collapsed="false">
      <c r="A172" s="6" t="s">
        <v>703</v>
      </c>
      <c r="B172" s="6" t="s">
        <v>38</v>
      </c>
      <c r="C172" s="6" t="s">
        <v>179</v>
      </c>
      <c r="D172" s="6" t="s">
        <v>130</v>
      </c>
      <c r="E172" s="6" t="s">
        <v>25</v>
      </c>
      <c r="F172" s="6"/>
      <c r="G172" s="6"/>
      <c r="H172" s="6" t="s">
        <v>25</v>
      </c>
      <c r="I172" s="6" t="s">
        <v>179</v>
      </c>
      <c r="J172" s="6" t="s">
        <v>51</v>
      </c>
      <c r="K172" s="6" t="s">
        <v>52</v>
      </c>
      <c r="L172" s="6" t="s">
        <v>30</v>
      </c>
      <c r="M172" s="6" t="s">
        <v>704</v>
      </c>
      <c r="N172" s="6" t="s">
        <v>705</v>
      </c>
      <c r="O172" s="6" t="s">
        <v>33</v>
      </c>
      <c r="P172" s="1" t="str">
        <f aca="false">IF(H172="Yes",IF(J172="MLS","Pro - MLS",IF(J172="MLS NEXT Pro","Pro - MLS NEXT Pro",IF(J172="USL Championship","Pro - USL Championship",IF(J172="USL League One","Pro - USL League One","Pro - Other")))),IF(H172="No",IF(K172="Amateur / Pre-Professional","Amateur / Pre-Professional","Returned to College"),"Unknown"))</f>
        <v>Returned to College</v>
      </c>
      <c r="Q172" s="1" t="str">
        <f aca="false">IF(E172="Yes","Yes","No")</f>
        <v>No</v>
      </c>
      <c r="R172" s="1" t="str">
        <f aca="false">IF(H172="Yes","Yes","No")</f>
        <v>No</v>
      </c>
      <c r="S172" s="2" t="s">
        <v>706</v>
      </c>
      <c r="T172" s="2" t="s">
        <v>35</v>
      </c>
      <c r="U172" s="2" t="s">
        <v>36</v>
      </c>
    </row>
    <row r="173" customFormat="false" ht="15" hidden="false" customHeight="true" outlineLevel="0" collapsed="false">
      <c r="A173" s="6" t="s">
        <v>707</v>
      </c>
      <c r="B173" s="6" t="s">
        <v>63</v>
      </c>
      <c r="C173" s="6" t="s">
        <v>708</v>
      </c>
      <c r="D173" s="6" t="s">
        <v>230</v>
      </c>
      <c r="E173" s="6" t="s">
        <v>25</v>
      </c>
      <c r="F173" s="6"/>
      <c r="G173" s="6"/>
      <c r="H173" s="6" t="s">
        <v>26</v>
      </c>
      <c r="I173" s="6" t="s">
        <v>355</v>
      </c>
      <c r="J173" s="6" t="s">
        <v>76</v>
      </c>
      <c r="K173" s="6" t="s">
        <v>29</v>
      </c>
      <c r="L173" s="6" t="s">
        <v>30</v>
      </c>
      <c r="M173" s="6" t="s">
        <v>709</v>
      </c>
      <c r="N173" s="6" t="s">
        <v>710</v>
      </c>
      <c r="O173" s="6" t="s">
        <v>33</v>
      </c>
      <c r="P173" s="1" t="str">
        <f aca="false">IF(H173="Yes",IF(J173="MLS","Pro - MLS",IF(J173="MLS NEXT Pro","Pro - MLS NEXT Pro",IF(J173="USL Championship","Pro - USL Championship",IF(J173="USL League One","Pro - USL League One","Pro - Other")))),IF(H173="No",IF(K173="Amateur / Pre-Professional","Amateur / Pre-Professional","Returned to College"),"Unknown"))</f>
        <v>Pro - MLS NEXT Pro</v>
      </c>
      <c r="Q173" s="1" t="str">
        <f aca="false">IF(E173="Yes","Yes","No")</f>
        <v>No</v>
      </c>
      <c r="R173" s="1" t="str">
        <f aca="false">IF(H173="Yes","Yes","No")</f>
        <v>Yes</v>
      </c>
      <c r="S173" s="2" t="s">
        <v>711</v>
      </c>
      <c r="T173" s="2" t="s">
        <v>35</v>
      </c>
      <c r="U173" s="2" t="s">
        <v>36</v>
      </c>
    </row>
    <row r="174" customFormat="false" ht="27.75" hidden="false" customHeight="true" outlineLevel="0" collapsed="false">
      <c r="A174" s="6" t="s">
        <v>712</v>
      </c>
      <c r="B174" s="6" t="s">
        <v>48</v>
      </c>
      <c r="C174" s="6" t="s">
        <v>91</v>
      </c>
      <c r="D174" s="6" t="s">
        <v>465</v>
      </c>
      <c r="E174" s="6" t="s">
        <v>26</v>
      </c>
      <c r="F174" s="6" t="n">
        <v>56</v>
      </c>
      <c r="G174" s="6" t="s">
        <v>210</v>
      </c>
      <c r="H174" s="6" t="s">
        <v>25</v>
      </c>
      <c r="I174" s="6" t="s">
        <v>91</v>
      </c>
      <c r="J174" s="6" t="s">
        <v>51</v>
      </c>
      <c r="K174" s="6" t="s">
        <v>52</v>
      </c>
      <c r="L174" s="6" t="s">
        <v>53</v>
      </c>
      <c r="M174" s="6" t="s">
        <v>93</v>
      </c>
      <c r="N174" s="6" t="s">
        <v>94</v>
      </c>
      <c r="O174" s="6" t="s">
        <v>33</v>
      </c>
      <c r="P174" s="1" t="str">
        <f aca="false">IF(H174="Yes",IF(J174="MLS","Pro - MLS",IF(J174="MLS NEXT Pro","Pro - MLS NEXT Pro",IF(J174="USL Championship","Pro - USL Championship",IF(J174="USL League One","Pro - USL League One","Pro - Other")))),IF(H174="No",IF(K174="Amateur / Pre-Professional","Amateur / Pre-Professional","Returned to College"),"Unknown"))</f>
        <v>Returned to College</v>
      </c>
      <c r="Q174" s="1" t="str">
        <f aca="false">IF(E174="Yes","Yes","No")</f>
        <v>Yes</v>
      </c>
      <c r="R174" s="1" t="str">
        <f aca="false">IF(H174="Yes","Yes","No")</f>
        <v>No</v>
      </c>
      <c r="U174" s="2" t="s">
        <v>56</v>
      </c>
    </row>
    <row r="175" customFormat="false" ht="27.75" hidden="false" customHeight="true" outlineLevel="0" collapsed="false">
      <c r="A175" s="6" t="s">
        <v>713</v>
      </c>
      <c r="B175" s="6" t="s">
        <v>22</v>
      </c>
      <c r="C175" s="6" t="s">
        <v>179</v>
      </c>
      <c r="D175" s="6"/>
      <c r="E175" s="6" t="s">
        <v>26</v>
      </c>
      <c r="F175" s="6" t="n">
        <v>11</v>
      </c>
      <c r="G175" s="6" t="s">
        <v>230</v>
      </c>
      <c r="H175" s="6" t="s">
        <v>25</v>
      </c>
      <c r="I175" s="6" t="s">
        <v>179</v>
      </c>
      <c r="J175" s="6" t="s">
        <v>51</v>
      </c>
      <c r="K175" s="6" t="s">
        <v>425</v>
      </c>
      <c r="L175" s="6" t="s">
        <v>53</v>
      </c>
      <c r="M175" s="6" t="s">
        <v>133</v>
      </c>
      <c r="N175" s="6" t="s">
        <v>70</v>
      </c>
      <c r="O175" s="6" t="s">
        <v>71</v>
      </c>
      <c r="P175" s="1" t="str">
        <f aca="false">IF(H175="Yes",IF(J175="MLS","Pro - MLS",IF(J175="MLS NEXT Pro","Pro - MLS NEXT Pro",IF(J175="USL Championship","Pro - USL Championship",IF(J175="USL League One","Pro - USL League One","Pro - Other")))),IF(H175="No",IF(K175="Amateur / Pre-Professional","Amateur / Pre-Professional","Returned to College"),"Unknown"))</f>
        <v>Returned to College</v>
      </c>
      <c r="Q175" s="1" t="str">
        <f aca="false">IF(E175="Yes","Yes","No")</f>
        <v>Yes</v>
      </c>
      <c r="R175" s="1" t="str">
        <f aca="false">IF(H175="Yes","Yes","No")</f>
        <v>No</v>
      </c>
      <c r="U175" s="2" t="s">
        <v>56</v>
      </c>
    </row>
    <row r="176" customFormat="false" ht="15" hidden="false" customHeight="true" outlineLevel="0" collapsed="false">
      <c r="A176" s="6" t="s">
        <v>714</v>
      </c>
      <c r="B176" s="6" t="s">
        <v>22</v>
      </c>
      <c r="C176" s="6" t="s">
        <v>179</v>
      </c>
      <c r="D176" s="6"/>
      <c r="E176" s="6" t="s">
        <v>25</v>
      </c>
      <c r="F176" s="6"/>
      <c r="G176" s="6"/>
      <c r="H176" s="6" t="s">
        <v>25</v>
      </c>
      <c r="I176" s="6" t="s">
        <v>179</v>
      </c>
      <c r="J176" s="6" t="s">
        <v>51</v>
      </c>
      <c r="K176" s="6" t="s">
        <v>52</v>
      </c>
      <c r="L176" s="6" t="s">
        <v>83</v>
      </c>
      <c r="M176" s="6" t="s">
        <v>704</v>
      </c>
      <c r="N176" s="6" t="s">
        <v>715</v>
      </c>
      <c r="O176" s="6" t="s">
        <v>33</v>
      </c>
      <c r="P176" s="1" t="str">
        <f aca="false">IF(H176="Yes",IF(J176="MLS","Pro - MLS",IF(J176="MLS NEXT Pro","Pro - MLS NEXT Pro",IF(J176="USL Championship","Pro - USL Championship",IF(J176="USL League One","Pro - USL League One","Pro - Other")))),IF(H176="No",IF(K176="Amateur / Pre-Professional","Amateur / Pre-Professional","Returned to College"),"Unknown"))</f>
        <v>Returned to College</v>
      </c>
      <c r="Q176" s="1" t="str">
        <f aca="false">IF(E176="Yes","Yes","No")</f>
        <v>No</v>
      </c>
      <c r="R176" s="1" t="str">
        <f aca="false">IF(H176="Yes","Yes","No")</f>
        <v>No</v>
      </c>
      <c r="S176" s="2" t="s">
        <v>635</v>
      </c>
      <c r="T176" s="2" t="s">
        <v>35</v>
      </c>
      <c r="U176" s="2" t="s">
        <v>36</v>
      </c>
    </row>
    <row r="177" customFormat="false" ht="15" hidden="false" customHeight="true" outlineLevel="0" collapsed="false">
      <c r="A177" s="6" t="s">
        <v>716</v>
      </c>
      <c r="B177" s="6" t="s">
        <v>63</v>
      </c>
      <c r="C177" s="6" t="s">
        <v>717</v>
      </c>
      <c r="D177" s="6"/>
      <c r="E177" s="6" t="s">
        <v>25</v>
      </c>
      <c r="F177" s="6"/>
      <c r="G177" s="6"/>
      <c r="H177" s="6"/>
      <c r="I177" s="6"/>
      <c r="J177" s="6"/>
      <c r="K177" s="6" t="s">
        <v>88</v>
      </c>
      <c r="L177" s="6" t="s">
        <v>30</v>
      </c>
      <c r="M177" s="6"/>
      <c r="N177" s="6"/>
      <c r="O177" s="6" t="s">
        <v>71</v>
      </c>
      <c r="P177" s="1" t="str">
        <f aca="false">IF(H177="Yes",IF(J177="MLS","Pro - MLS",IF(J177="MLS NEXT Pro","Pro - MLS NEXT Pro",IF(J177="USL Championship","Pro - USL Championship",IF(J177="USL League One","Pro - USL League One","Pro - Other")))),IF(H177="No",IF(K177="Amateur / Pre-Professional","Amateur / Pre-Professional","Returned to College"),"Unknown"))</f>
        <v>Unknown</v>
      </c>
      <c r="Q177" s="1" t="str">
        <f aca="false">IF(E177="Yes","Yes","No")</f>
        <v>No</v>
      </c>
      <c r="R177" s="1" t="str">
        <f aca="false">IF(H177="Yes","Yes","No")</f>
        <v>No</v>
      </c>
      <c r="S177" s="2" t="s">
        <v>718</v>
      </c>
      <c r="T177" s="2" t="s">
        <v>35</v>
      </c>
      <c r="U177" s="2" t="s">
        <v>719</v>
      </c>
    </row>
    <row r="178" customFormat="false" ht="15" hidden="false" customHeight="true" outlineLevel="0" collapsed="false">
      <c r="A178" s="6" t="s">
        <v>720</v>
      </c>
      <c r="B178" s="6" t="s">
        <v>48</v>
      </c>
      <c r="C178" s="6" t="s">
        <v>721</v>
      </c>
      <c r="D178" s="6"/>
      <c r="E178" s="6" t="s">
        <v>25</v>
      </c>
      <c r="F178" s="6"/>
      <c r="G178" s="6"/>
      <c r="H178" s="6" t="s">
        <v>25</v>
      </c>
      <c r="I178" s="6" t="s">
        <v>357</v>
      </c>
      <c r="J178" s="6" t="s">
        <v>51</v>
      </c>
      <c r="K178" s="6" t="s">
        <v>52</v>
      </c>
      <c r="L178" s="6" t="s">
        <v>53</v>
      </c>
      <c r="M178" s="6" t="s">
        <v>722</v>
      </c>
      <c r="N178" s="6" t="s">
        <v>723</v>
      </c>
      <c r="O178" s="6" t="s">
        <v>33</v>
      </c>
      <c r="P178" s="1" t="str">
        <f aca="false">IF(H178="Yes",IF(J178="MLS","Pro - MLS",IF(J178="MLS NEXT Pro","Pro - MLS NEXT Pro",IF(J178="USL Championship","Pro - USL Championship",IF(J178="USL League One","Pro - USL League One","Pro - Other")))),IF(H178="No",IF(K178="Amateur / Pre-Professional","Amateur / Pre-Professional","Returned to College"),"Unknown"))</f>
        <v>Returned to College</v>
      </c>
      <c r="Q178" s="1" t="str">
        <f aca="false">IF(E178="Yes","Yes","No")</f>
        <v>No</v>
      </c>
      <c r="R178" s="1" t="str">
        <f aca="false">IF(H178="Yes","Yes","No")</f>
        <v>No</v>
      </c>
      <c r="S178" s="2" t="s">
        <v>724</v>
      </c>
      <c r="T178" s="2" t="s">
        <v>35</v>
      </c>
      <c r="U178" s="2" t="s">
        <v>36</v>
      </c>
    </row>
    <row r="179" customFormat="false" ht="15" hidden="false" customHeight="true" outlineLevel="0" collapsed="false">
      <c r="A179" s="6" t="s">
        <v>725</v>
      </c>
      <c r="B179" s="6" t="s">
        <v>48</v>
      </c>
      <c r="C179" s="6" t="s">
        <v>136</v>
      </c>
      <c r="D179" s="6"/>
      <c r="E179" s="6" t="s">
        <v>25</v>
      </c>
      <c r="F179" s="6"/>
      <c r="G179" s="6"/>
      <c r="H179" s="6" t="s">
        <v>25</v>
      </c>
      <c r="I179" s="6" t="s">
        <v>136</v>
      </c>
      <c r="J179" s="6" t="s">
        <v>51</v>
      </c>
      <c r="K179" s="6" t="s">
        <v>52</v>
      </c>
      <c r="L179" s="6" t="s">
        <v>667</v>
      </c>
      <c r="M179" s="6" t="s">
        <v>195</v>
      </c>
      <c r="N179" s="6" t="s">
        <v>196</v>
      </c>
      <c r="O179" s="6" t="s">
        <v>33</v>
      </c>
      <c r="P179" s="1" t="str">
        <f aca="false">IF(H179="Yes",IF(J179="MLS","Pro - MLS",IF(J179="MLS NEXT Pro","Pro - MLS NEXT Pro",IF(J179="USL Championship","Pro - USL Championship",IF(J179="USL League One","Pro - USL League One","Pro - Other")))),IF(H179="No",IF(K179="Amateur / Pre-Professional","Amateur / Pre-Professional","Returned to College"),"Unknown"))</f>
        <v>Returned to College</v>
      </c>
      <c r="Q179" s="1" t="str">
        <f aca="false">IF(E179="Yes","Yes","No")</f>
        <v>No</v>
      </c>
      <c r="R179" s="1" t="str">
        <f aca="false">IF(H179="Yes","Yes","No")</f>
        <v>No</v>
      </c>
      <c r="S179" s="2" t="s">
        <v>197</v>
      </c>
      <c r="T179" s="2" t="s">
        <v>35</v>
      </c>
      <c r="U179" s="2" t="s">
        <v>36</v>
      </c>
    </row>
    <row r="180" customFormat="false" ht="15" hidden="false" customHeight="true" outlineLevel="0" collapsed="false">
      <c r="A180" s="6" t="s">
        <v>726</v>
      </c>
      <c r="B180" s="6" t="s">
        <v>48</v>
      </c>
      <c r="C180" s="6" t="s">
        <v>214</v>
      </c>
      <c r="D180" s="6" t="s">
        <v>66</v>
      </c>
      <c r="E180" s="6" t="s">
        <v>25</v>
      </c>
      <c r="F180" s="6"/>
      <c r="G180" s="6"/>
      <c r="H180" s="6"/>
      <c r="I180" s="6"/>
      <c r="J180" s="6"/>
      <c r="K180" s="6" t="s">
        <v>88</v>
      </c>
      <c r="L180" s="6" t="s">
        <v>92</v>
      </c>
      <c r="M180" s="6"/>
      <c r="N180" s="6"/>
      <c r="O180" s="6" t="s">
        <v>71</v>
      </c>
      <c r="P180" s="1" t="str">
        <f aca="false">IF(H180="Yes",IF(J180="MLS","Pro - MLS",IF(J180="MLS NEXT Pro","Pro - MLS NEXT Pro",IF(J180="USL Championship","Pro - USL Championship",IF(J180="USL League One","Pro - USL League One","Pro - Other")))),IF(H180="No",IF(K180="Amateur / Pre-Professional","Amateur / Pre-Professional","Returned to College"),"Unknown"))</f>
        <v>Unknown</v>
      </c>
      <c r="Q180" s="1" t="str">
        <f aca="false">IF(E180="Yes","Yes","No")</f>
        <v>No</v>
      </c>
      <c r="R180" s="1" t="str">
        <f aca="false">IF(H180="Yes","Yes","No")</f>
        <v>No</v>
      </c>
      <c r="S180" s="2" t="s">
        <v>674</v>
      </c>
      <c r="T180" s="2" t="s">
        <v>35</v>
      </c>
      <c r="U180" s="2" t="s">
        <v>36</v>
      </c>
    </row>
    <row r="181" customFormat="false" ht="27.75" hidden="false" customHeight="true" outlineLevel="0" collapsed="false">
      <c r="A181" s="6" t="s">
        <v>727</v>
      </c>
      <c r="B181" s="6" t="s">
        <v>22</v>
      </c>
      <c r="C181" s="6" t="s">
        <v>261</v>
      </c>
      <c r="D181" s="6" t="s">
        <v>178</v>
      </c>
      <c r="E181" s="6" t="s">
        <v>26</v>
      </c>
      <c r="F181" s="6" t="n">
        <v>53</v>
      </c>
      <c r="G181" s="6" t="s">
        <v>278</v>
      </c>
      <c r="H181" s="6" t="s">
        <v>25</v>
      </c>
      <c r="I181" s="6" t="s">
        <v>261</v>
      </c>
      <c r="J181" s="6" t="s">
        <v>51</v>
      </c>
      <c r="K181" s="6" t="s">
        <v>52</v>
      </c>
      <c r="L181" s="6" t="s">
        <v>83</v>
      </c>
      <c r="M181" s="6" t="s">
        <v>262</v>
      </c>
      <c r="N181" s="6" t="s">
        <v>728</v>
      </c>
      <c r="O181" s="6" t="s">
        <v>33</v>
      </c>
      <c r="P181" s="1" t="str">
        <f aca="false">IF(H181="Yes",IF(J181="MLS","Pro - MLS",IF(J181="MLS NEXT Pro","Pro - MLS NEXT Pro",IF(J181="USL Championship","Pro - USL Championship",IF(J181="USL League One","Pro - USL League One","Pro - Other")))),IF(H181="No",IF(K181="Amateur / Pre-Professional","Amateur / Pre-Professional","Returned to College"),"Unknown"))</f>
        <v>Returned to College</v>
      </c>
      <c r="Q181" s="1" t="str">
        <f aca="false">IF(E181="Yes","Yes","No")</f>
        <v>Yes</v>
      </c>
      <c r="R181" s="1" t="str">
        <f aca="false">IF(H181="Yes","Yes","No")</f>
        <v>No</v>
      </c>
      <c r="U181" s="2" t="s">
        <v>56</v>
      </c>
    </row>
    <row r="182" customFormat="false" ht="27.75" hidden="false" customHeight="true" outlineLevel="0" collapsed="false">
      <c r="A182" s="6" t="s">
        <v>729</v>
      </c>
      <c r="B182" s="6" t="s">
        <v>63</v>
      </c>
      <c r="C182" s="6" t="s">
        <v>155</v>
      </c>
      <c r="D182" s="6" t="s">
        <v>730</v>
      </c>
      <c r="E182" s="6" t="s">
        <v>26</v>
      </c>
      <c r="F182" s="6" t="n">
        <v>32</v>
      </c>
      <c r="G182" s="6" t="s">
        <v>224</v>
      </c>
      <c r="H182" s="6" t="s">
        <v>26</v>
      </c>
      <c r="I182" s="6" t="s">
        <v>412</v>
      </c>
      <c r="J182" s="6" t="s">
        <v>76</v>
      </c>
      <c r="K182" s="6" t="s">
        <v>29</v>
      </c>
      <c r="L182" s="6" t="s">
        <v>30</v>
      </c>
      <c r="M182" s="6" t="s">
        <v>133</v>
      </c>
      <c r="N182" s="6" t="s">
        <v>70</v>
      </c>
      <c r="O182" s="6" t="s">
        <v>71</v>
      </c>
      <c r="P182" s="1" t="str">
        <f aca="false">IF(H182="Yes",IF(J182="MLS","Pro - MLS",IF(J182="MLS NEXT Pro","Pro - MLS NEXT Pro",IF(J182="USL Championship","Pro - USL Championship",IF(J182="USL League One","Pro - USL League One","Pro - Other")))),IF(H182="No",IF(K182="Amateur / Pre-Professional","Amateur / Pre-Professional","Returned to College"),"Unknown"))</f>
        <v>Pro - MLS NEXT Pro</v>
      </c>
      <c r="Q182" s="1" t="str">
        <f aca="false">IF(E182="Yes","Yes","No")</f>
        <v>Yes</v>
      </c>
      <c r="R182" s="1" t="str">
        <f aca="false">IF(H182="Yes","Yes","No")</f>
        <v>Yes</v>
      </c>
      <c r="U182" s="2" t="s">
        <v>56</v>
      </c>
    </row>
    <row r="183" customFormat="false" ht="15" hidden="false" customHeight="true" outlineLevel="0" collapsed="false">
      <c r="A183" s="6" t="s">
        <v>731</v>
      </c>
      <c r="B183" s="6" t="s">
        <v>22</v>
      </c>
      <c r="C183" s="6" t="s">
        <v>732</v>
      </c>
      <c r="D183" s="6" t="s">
        <v>733</v>
      </c>
      <c r="E183" s="6" t="s">
        <v>25</v>
      </c>
      <c r="F183" s="6"/>
      <c r="G183" s="6"/>
      <c r="H183" s="6" t="s">
        <v>25</v>
      </c>
      <c r="I183" s="6" t="s">
        <v>732</v>
      </c>
      <c r="J183" s="6" t="s">
        <v>51</v>
      </c>
      <c r="K183" s="6" t="s">
        <v>52</v>
      </c>
      <c r="L183" s="6" t="s">
        <v>83</v>
      </c>
      <c r="M183" s="6" t="s">
        <v>734</v>
      </c>
      <c r="N183" s="6" t="s">
        <v>735</v>
      </c>
      <c r="O183" s="6" t="s">
        <v>33</v>
      </c>
      <c r="P183" s="1" t="str">
        <f aca="false">IF(H183="Yes",IF(J183="MLS","Pro - MLS",IF(J183="MLS NEXT Pro","Pro - MLS NEXT Pro",IF(J183="USL Championship","Pro - USL Championship",IF(J183="USL League One","Pro - USL League One","Pro - Other")))),IF(H183="No",IF(K183="Amateur / Pre-Professional","Amateur / Pre-Professional","Returned to College"),"Unknown"))</f>
        <v>Returned to College</v>
      </c>
      <c r="Q183" s="1" t="str">
        <f aca="false">IF(E183="Yes","Yes","No")</f>
        <v>No</v>
      </c>
      <c r="R183" s="1" t="str">
        <f aca="false">IF(H183="Yes","Yes","No")</f>
        <v>No</v>
      </c>
      <c r="S183" s="2" t="s">
        <v>736</v>
      </c>
      <c r="T183" s="2" t="s">
        <v>35</v>
      </c>
      <c r="U183" s="2" t="s">
        <v>36</v>
      </c>
    </row>
    <row r="184" customFormat="false" ht="27.75" hidden="false" customHeight="true" outlineLevel="0" collapsed="false">
      <c r="A184" s="6" t="s">
        <v>737</v>
      </c>
      <c r="B184" s="6" t="s">
        <v>48</v>
      </c>
      <c r="C184" s="6" t="s">
        <v>277</v>
      </c>
      <c r="D184" s="6"/>
      <c r="E184" s="6" t="s">
        <v>25</v>
      </c>
      <c r="F184" s="6"/>
      <c r="G184" s="6"/>
      <c r="H184" s="6" t="s">
        <v>25</v>
      </c>
      <c r="I184" s="6" t="s">
        <v>566</v>
      </c>
      <c r="J184" s="6" t="s">
        <v>51</v>
      </c>
      <c r="K184" s="6" t="s">
        <v>52</v>
      </c>
      <c r="L184" s="6" t="s">
        <v>92</v>
      </c>
      <c r="M184" s="6" t="s">
        <v>738</v>
      </c>
      <c r="N184" s="6" t="s">
        <v>739</v>
      </c>
      <c r="O184" s="6" t="s">
        <v>33</v>
      </c>
      <c r="P184" s="1" t="str">
        <f aca="false">IF(H184="Yes",IF(J184="MLS","Pro - MLS",IF(J184="MLS NEXT Pro","Pro - MLS NEXT Pro",IF(J184="USL Championship","Pro - USL Championship",IF(J184="USL League One","Pro - USL League One","Pro - Other")))),IF(H184="No",IF(K184="Amateur / Pre-Professional","Amateur / Pre-Professional","Returned to College"),"Unknown"))</f>
        <v>Returned to College</v>
      </c>
      <c r="Q184" s="1" t="str">
        <f aca="false">IF(E184="Yes","Yes","No")</f>
        <v>No</v>
      </c>
      <c r="R184" s="1" t="str">
        <f aca="false">IF(H184="Yes","Yes","No")</f>
        <v>No</v>
      </c>
      <c r="S184" s="2" t="s">
        <v>740</v>
      </c>
      <c r="T184" s="2" t="s">
        <v>35</v>
      </c>
      <c r="U184" s="2" t="s">
        <v>741</v>
      </c>
    </row>
    <row r="185" customFormat="false" ht="15" hidden="false" customHeight="true" outlineLevel="0" collapsed="false">
      <c r="A185" s="6" t="s">
        <v>742</v>
      </c>
      <c r="B185" s="6" t="s">
        <v>63</v>
      </c>
      <c r="C185" s="6" t="s">
        <v>261</v>
      </c>
      <c r="D185" s="6" t="s">
        <v>205</v>
      </c>
      <c r="E185" s="6" t="s">
        <v>25</v>
      </c>
      <c r="F185" s="6"/>
      <c r="G185" s="6"/>
      <c r="H185" s="6" t="s">
        <v>25</v>
      </c>
      <c r="I185" s="6" t="s">
        <v>261</v>
      </c>
      <c r="J185" s="6" t="s">
        <v>51</v>
      </c>
      <c r="K185" s="6" t="s">
        <v>52</v>
      </c>
      <c r="L185" s="6" t="s">
        <v>30</v>
      </c>
      <c r="M185" s="6" t="s">
        <v>262</v>
      </c>
      <c r="N185" s="6" t="s">
        <v>743</v>
      </c>
      <c r="O185" s="6" t="s">
        <v>33</v>
      </c>
      <c r="P185" s="1" t="str">
        <f aca="false">IF(H185="Yes",IF(J185="MLS","Pro - MLS",IF(J185="MLS NEXT Pro","Pro - MLS NEXT Pro",IF(J185="USL Championship","Pro - USL Championship",IF(J185="USL League One","Pro - USL League One","Pro - Other")))),IF(H185="No",IF(K185="Amateur / Pre-Professional","Amateur / Pre-Professional","Returned to College"),"Unknown"))</f>
        <v>Returned to College</v>
      </c>
      <c r="Q185" s="1" t="str">
        <f aca="false">IF(E185="Yes","Yes","No")</f>
        <v>No</v>
      </c>
      <c r="R185" s="1" t="str">
        <f aca="false">IF(H185="Yes","Yes","No")</f>
        <v>No</v>
      </c>
      <c r="S185" s="2" t="s">
        <v>744</v>
      </c>
      <c r="T185" s="2" t="s">
        <v>35</v>
      </c>
      <c r="U185" s="2" t="s">
        <v>36</v>
      </c>
    </row>
    <row r="186" customFormat="false" ht="27.75" hidden="false" customHeight="true" outlineLevel="0" collapsed="false">
      <c r="A186" s="6" t="s">
        <v>745</v>
      </c>
      <c r="B186" s="6" t="s">
        <v>38</v>
      </c>
      <c r="C186" s="6" t="s">
        <v>746</v>
      </c>
      <c r="D186" s="6"/>
      <c r="E186" s="6" t="s">
        <v>26</v>
      </c>
      <c r="F186" s="6" t="n">
        <v>21</v>
      </c>
      <c r="G186" s="6" t="s">
        <v>747</v>
      </c>
      <c r="H186" s="6" t="s">
        <v>26</v>
      </c>
      <c r="I186" s="6" t="s">
        <v>748</v>
      </c>
      <c r="J186" s="6" t="s">
        <v>76</v>
      </c>
      <c r="K186" s="6" t="s">
        <v>29</v>
      </c>
      <c r="L186" s="6" t="s">
        <v>584</v>
      </c>
      <c r="M186" s="6" t="s">
        <v>133</v>
      </c>
      <c r="N186" s="6" t="s">
        <v>70</v>
      </c>
      <c r="O186" s="6" t="s">
        <v>71</v>
      </c>
      <c r="P186" s="1" t="str">
        <f aca="false">IF(H186="Yes",IF(J186="MLS","Pro - MLS",IF(J186="MLS NEXT Pro","Pro - MLS NEXT Pro",IF(J186="USL Championship","Pro - USL Championship",IF(J186="USL League One","Pro - USL League One","Pro - Other")))),IF(H186="No",IF(K186="Amateur / Pre-Professional","Amateur / Pre-Professional","Returned to College"),"Unknown"))</f>
        <v>Pro - MLS NEXT Pro</v>
      </c>
      <c r="Q186" s="1" t="str">
        <f aca="false">IF(E186="Yes","Yes","No")</f>
        <v>Yes</v>
      </c>
      <c r="R186" s="1" t="str">
        <f aca="false">IF(H186="Yes","Yes","No")</f>
        <v>Yes</v>
      </c>
      <c r="U186" s="2" t="s">
        <v>56</v>
      </c>
    </row>
    <row r="187" customFormat="false" ht="15" hidden="false" customHeight="true" outlineLevel="0" collapsed="false">
      <c r="A187" s="6" t="s">
        <v>749</v>
      </c>
      <c r="B187" s="6" t="s">
        <v>63</v>
      </c>
      <c r="C187" s="6" t="s">
        <v>750</v>
      </c>
      <c r="D187" s="6" t="s">
        <v>301</v>
      </c>
      <c r="E187" s="6" t="s">
        <v>25</v>
      </c>
      <c r="F187" s="6"/>
      <c r="G187" s="6"/>
      <c r="H187" s="6"/>
      <c r="I187" s="6"/>
      <c r="J187" s="6"/>
      <c r="K187" s="6" t="s">
        <v>88</v>
      </c>
      <c r="L187" s="6" t="s">
        <v>436</v>
      </c>
      <c r="M187" s="6"/>
      <c r="N187" s="6"/>
      <c r="O187" s="6" t="s">
        <v>71</v>
      </c>
      <c r="P187" s="1" t="str">
        <f aca="false">IF(H187="Yes",IF(J187="MLS","Pro - MLS",IF(J187="MLS NEXT Pro","Pro - MLS NEXT Pro",IF(J187="USL Championship","Pro - USL Championship",IF(J187="USL League One","Pro - USL League One","Pro - Other")))),IF(H187="No",IF(K187="Amateur / Pre-Professional","Amateur / Pre-Professional","Returned to College"),"Unknown"))</f>
        <v>Unknown</v>
      </c>
      <c r="Q187" s="1" t="str">
        <f aca="false">IF(E187="Yes","Yes","No")</f>
        <v>No</v>
      </c>
      <c r="R187" s="1" t="str">
        <f aca="false">IF(H187="Yes","Yes","No")</f>
        <v>No</v>
      </c>
      <c r="T187" s="2" t="s">
        <v>437</v>
      </c>
      <c r="U187" s="2" t="s">
        <v>438</v>
      </c>
    </row>
    <row r="188" customFormat="false" ht="15" hidden="false" customHeight="true" outlineLevel="0" collapsed="false">
      <c r="A188" s="6" t="s">
        <v>751</v>
      </c>
      <c r="B188" s="6" t="s">
        <v>63</v>
      </c>
      <c r="C188" s="6" t="s">
        <v>752</v>
      </c>
      <c r="D188" s="6"/>
      <c r="E188" s="6" t="s">
        <v>25</v>
      </c>
      <c r="F188" s="6"/>
      <c r="G188" s="6"/>
      <c r="H188" s="6" t="s">
        <v>25</v>
      </c>
      <c r="I188" s="6" t="s">
        <v>752</v>
      </c>
      <c r="J188" s="6" t="s">
        <v>51</v>
      </c>
      <c r="K188" s="6" t="s">
        <v>52</v>
      </c>
      <c r="L188" s="6" t="s">
        <v>53</v>
      </c>
      <c r="M188" s="6" t="s">
        <v>753</v>
      </c>
      <c r="N188" s="6" t="s">
        <v>754</v>
      </c>
      <c r="O188" s="6" t="s">
        <v>33</v>
      </c>
      <c r="P188" s="1" t="str">
        <f aca="false">IF(H188="Yes",IF(J188="MLS","Pro - MLS",IF(J188="MLS NEXT Pro","Pro - MLS NEXT Pro",IF(J188="USL Championship","Pro - USL Championship",IF(J188="USL League One","Pro - USL League One","Pro - Other")))),IF(H188="No",IF(K188="Amateur / Pre-Professional","Amateur / Pre-Professional","Returned to College"),"Unknown"))</f>
        <v>Returned to College</v>
      </c>
      <c r="Q188" s="1" t="str">
        <f aca="false">IF(E188="Yes","Yes","No")</f>
        <v>No</v>
      </c>
      <c r="R188" s="1" t="str">
        <f aca="false">IF(H188="Yes","Yes","No")</f>
        <v>No</v>
      </c>
      <c r="S188" s="2" t="s">
        <v>755</v>
      </c>
      <c r="T188" s="2" t="s">
        <v>35</v>
      </c>
      <c r="U188" s="2" t="s">
        <v>36</v>
      </c>
    </row>
    <row r="189" customFormat="false" ht="15" hidden="false" customHeight="true" outlineLevel="0" collapsed="false">
      <c r="A189" s="6" t="s">
        <v>756</v>
      </c>
      <c r="B189" s="6" t="s">
        <v>63</v>
      </c>
      <c r="C189" s="6" t="s">
        <v>532</v>
      </c>
      <c r="D189" s="6" t="s">
        <v>757</v>
      </c>
      <c r="E189" s="6" t="s">
        <v>25</v>
      </c>
      <c r="F189" s="6"/>
      <c r="G189" s="6"/>
      <c r="H189" s="6"/>
      <c r="I189" s="6"/>
      <c r="J189" s="6"/>
      <c r="K189" s="6" t="s">
        <v>88</v>
      </c>
      <c r="L189" s="6" t="s">
        <v>30</v>
      </c>
      <c r="M189" s="6"/>
      <c r="N189" s="6"/>
      <c r="O189" s="6" t="s">
        <v>71</v>
      </c>
      <c r="P189" s="1" t="str">
        <f aca="false">IF(H189="Yes",IF(J189="MLS","Pro - MLS",IF(J189="MLS NEXT Pro","Pro - MLS NEXT Pro",IF(J189="USL Championship","Pro - USL Championship",IF(J189="USL League One","Pro - USL League One","Pro - Other")))),IF(H189="No",IF(K189="Amateur / Pre-Professional","Amateur / Pre-Professional","Returned to College"),"Unknown"))</f>
        <v>Unknown</v>
      </c>
      <c r="Q189" s="1" t="str">
        <f aca="false">IF(E189="Yes","Yes","No")</f>
        <v>No</v>
      </c>
      <c r="R189" s="1" t="str">
        <f aca="false">IF(H189="Yes","Yes","No")</f>
        <v>No</v>
      </c>
      <c r="S189" s="2" t="s">
        <v>533</v>
      </c>
      <c r="T189" s="2" t="s">
        <v>35</v>
      </c>
      <c r="U189" s="2" t="s">
        <v>36</v>
      </c>
    </row>
    <row r="190" customFormat="false" ht="15" hidden="false" customHeight="true" outlineLevel="0" collapsed="false">
      <c r="A190" s="6" t="s">
        <v>758</v>
      </c>
      <c r="B190" s="6" t="s">
        <v>22</v>
      </c>
      <c r="C190" s="6" t="s">
        <v>630</v>
      </c>
      <c r="D190" s="6" t="s">
        <v>759</v>
      </c>
      <c r="E190" s="6" t="s">
        <v>25</v>
      </c>
      <c r="F190" s="6"/>
      <c r="G190" s="6"/>
      <c r="H190" s="6" t="s">
        <v>25</v>
      </c>
      <c r="I190" s="6" t="s">
        <v>630</v>
      </c>
      <c r="J190" s="6" t="s">
        <v>51</v>
      </c>
      <c r="K190" s="6" t="s">
        <v>52</v>
      </c>
      <c r="L190" s="6" t="s">
        <v>53</v>
      </c>
      <c r="M190" s="6" t="s">
        <v>760</v>
      </c>
      <c r="N190" s="6" t="s">
        <v>761</v>
      </c>
      <c r="O190" s="6" t="s">
        <v>33</v>
      </c>
      <c r="P190" s="1" t="str">
        <f aca="false">IF(H190="Yes",IF(J190="MLS","Pro - MLS",IF(J190="MLS NEXT Pro","Pro - MLS NEXT Pro",IF(J190="USL Championship","Pro - USL Championship",IF(J190="USL League One","Pro - USL League One","Pro - Other")))),IF(H190="No",IF(K190="Amateur / Pre-Professional","Amateur / Pre-Professional","Returned to College"),"Unknown"))</f>
        <v>Returned to College</v>
      </c>
      <c r="Q190" s="1" t="str">
        <f aca="false">IF(E190="Yes","Yes","No")</f>
        <v>No</v>
      </c>
      <c r="R190" s="1" t="str">
        <f aca="false">IF(H190="Yes","Yes","No")</f>
        <v>No</v>
      </c>
      <c r="S190" s="2" t="s">
        <v>762</v>
      </c>
      <c r="T190" s="2" t="s">
        <v>35</v>
      </c>
      <c r="U190" s="2" t="s">
        <v>36</v>
      </c>
    </row>
    <row r="191" customFormat="false" ht="27.75" hidden="false" customHeight="true" outlineLevel="0" collapsed="false">
      <c r="A191" s="6" t="s">
        <v>763</v>
      </c>
      <c r="B191" s="6" t="s">
        <v>63</v>
      </c>
      <c r="C191" s="6" t="s">
        <v>189</v>
      </c>
      <c r="D191" s="6"/>
      <c r="E191" s="6" t="s">
        <v>26</v>
      </c>
      <c r="F191" s="6" t="n">
        <v>62</v>
      </c>
      <c r="G191" s="6" t="s">
        <v>301</v>
      </c>
      <c r="H191" s="6" t="s">
        <v>25</v>
      </c>
      <c r="I191" s="6" t="s">
        <v>189</v>
      </c>
      <c r="J191" s="6" t="s">
        <v>51</v>
      </c>
      <c r="K191" s="6" t="s">
        <v>52</v>
      </c>
      <c r="L191" s="6" t="s">
        <v>83</v>
      </c>
      <c r="M191" s="6" t="s">
        <v>578</v>
      </c>
      <c r="N191" s="6" t="s">
        <v>764</v>
      </c>
      <c r="O191" s="6" t="s">
        <v>33</v>
      </c>
      <c r="P191" s="1" t="str">
        <f aca="false">IF(H191="Yes",IF(J191="MLS","Pro - MLS",IF(J191="MLS NEXT Pro","Pro - MLS NEXT Pro",IF(J191="USL Championship","Pro - USL Championship",IF(J191="USL League One","Pro - USL League One","Pro - Other")))),IF(H191="No",IF(K191="Amateur / Pre-Professional","Amateur / Pre-Professional","Returned to College"),"Unknown"))</f>
        <v>Returned to College</v>
      </c>
      <c r="Q191" s="1" t="str">
        <f aca="false">IF(E191="Yes","Yes","No")</f>
        <v>Yes</v>
      </c>
      <c r="R191" s="1" t="str">
        <f aca="false">IF(H191="Yes","Yes","No")</f>
        <v>No</v>
      </c>
      <c r="U191" s="2" t="s">
        <v>56</v>
      </c>
    </row>
    <row r="192" customFormat="false" ht="27.75" hidden="false" customHeight="true" outlineLevel="0" collapsed="false">
      <c r="A192" s="6" t="s">
        <v>765</v>
      </c>
      <c r="B192" s="6" t="s">
        <v>48</v>
      </c>
      <c r="C192" s="6" t="s">
        <v>261</v>
      </c>
      <c r="D192" s="6" t="s">
        <v>24</v>
      </c>
      <c r="E192" s="6" t="s">
        <v>26</v>
      </c>
      <c r="F192" s="6" t="n">
        <v>41</v>
      </c>
      <c r="G192" s="6" t="s">
        <v>766</v>
      </c>
      <c r="H192" s="6" t="s">
        <v>26</v>
      </c>
      <c r="I192" s="6" t="s">
        <v>766</v>
      </c>
      <c r="J192" s="6" t="s">
        <v>67</v>
      </c>
      <c r="K192" s="6" t="s">
        <v>29</v>
      </c>
      <c r="L192" s="6" t="s">
        <v>30</v>
      </c>
      <c r="M192" s="6" t="s">
        <v>69</v>
      </c>
      <c r="N192" s="6" t="s">
        <v>70</v>
      </c>
      <c r="O192" s="6" t="s">
        <v>71</v>
      </c>
      <c r="P192" s="1" t="str">
        <f aca="false">IF(H192="Yes",IF(J192="MLS","Pro - MLS",IF(J192="MLS NEXT Pro","Pro - MLS NEXT Pro",IF(J192="USL Championship","Pro - USL Championship",IF(J192="USL League One","Pro - USL League One","Pro - Other")))),IF(H192="No",IF(K192="Amateur / Pre-Professional","Amateur / Pre-Professional","Returned to College"),"Unknown"))</f>
        <v>Pro - MLS</v>
      </c>
      <c r="Q192" s="1" t="str">
        <f aca="false">IF(E192="Yes","Yes","No")</f>
        <v>Yes</v>
      </c>
      <c r="R192" s="1" t="str">
        <f aca="false">IF(H192="Yes","Yes","No")</f>
        <v>Yes</v>
      </c>
      <c r="U192" s="2" t="s">
        <v>56</v>
      </c>
    </row>
    <row r="193" customFormat="false" ht="27.75" hidden="false" customHeight="true" outlineLevel="0" collapsed="false">
      <c r="A193" s="6" t="s">
        <v>767</v>
      </c>
      <c r="B193" s="6" t="s">
        <v>22</v>
      </c>
      <c r="C193" s="6" t="s">
        <v>129</v>
      </c>
      <c r="D193" s="6" t="s">
        <v>156</v>
      </c>
      <c r="E193" s="6" t="s">
        <v>26</v>
      </c>
      <c r="F193" s="6" t="n">
        <v>54</v>
      </c>
      <c r="G193" s="6" t="s">
        <v>224</v>
      </c>
      <c r="H193" s="6" t="s">
        <v>26</v>
      </c>
      <c r="I193" s="6" t="s">
        <v>355</v>
      </c>
      <c r="J193" s="6" t="s">
        <v>76</v>
      </c>
      <c r="K193" s="6" t="s">
        <v>29</v>
      </c>
      <c r="L193" s="6" t="s">
        <v>30</v>
      </c>
      <c r="M193" s="6" t="s">
        <v>133</v>
      </c>
      <c r="N193" s="6" t="s">
        <v>70</v>
      </c>
      <c r="O193" s="6" t="s">
        <v>71</v>
      </c>
      <c r="P193" s="1" t="str">
        <f aca="false">IF(H193="Yes",IF(J193="MLS","Pro - MLS",IF(J193="MLS NEXT Pro","Pro - MLS NEXT Pro",IF(J193="USL Championship","Pro - USL Championship",IF(J193="USL League One","Pro - USL League One","Pro - Other")))),IF(H193="No",IF(K193="Amateur / Pre-Professional","Amateur / Pre-Professional","Returned to College"),"Unknown"))</f>
        <v>Pro - MLS NEXT Pro</v>
      </c>
      <c r="Q193" s="1" t="str">
        <f aca="false">IF(E193="Yes","Yes","No")</f>
        <v>Yes</v>
      </c>
      <c r="R193" s="1" t="str">
        <f aca="false">IF(H193="Yes","Yes","No")</f>
        <v>Yes</v>
      </c>
      <c r="U193" s="2" t="s">
        <v>56</v>
      </c>
    </row>
    <row r="194" customFormat="false" ht="15" hidden="false" customHeight="true" outlineLevel="0" collapsed="false">
      <c r="A194" s="6" t="s">
        <v>768</v>
      </c>
      <c r="B194" s="6" t="s">
        <v>22</v>
      </c>
      <c r="C194" s="6" t="s">
        <v>769</v>
      </c>
      <c r="D194" s="6"/>
      <c r="E194" s="6" t="s">
        <v>25</v>
      </c>
      <c r="F194" s="6"/>
      <c r="G194" s="6"/>
      <c r="H194" s="6" t="s">
        <v>25</v>
      </c>
      <c r="I194" s="6" t="s">
        <v>769</v>
      </c>
      <c r="J194" s="6" t="s">
        <v>51</v>
      </c>
      <c r="K194" s="6" t="s">
        <v>52</v>
      </c>
      <c r="L194" s="6" t="s">
        <v>30</v>
      </c>
      <c r="M194" s="6" t="s">
        <v>770</v>
      </c>
      <c r="N194" s="6" t="s">
        <v>771</v>
      </c>
      <c r="O194" s="6" t="s">
        <v>33</v>
      </c>
      <c r="P194" s="1" t="str">
        <f aca="false">IF(H194="Yes",IF(J194="MLS","Pro - MLS",IF(J194="MLS NEXT Pro","Pro - MLS NEXT Pro",IF(J194="USL Championship","Pro - USL Championship",IF(J194="USL League One","Pro - USL League One","Pro - Other")))),IF(H194="No",IF(K194="Amateur / Pre-Professional","Amateur / Pre-Professional","Returned to College"),"Unknown"))</f>
        <v>Returned to College</v>
      </c>
      <c r="Q194" s="1" t="str">
        <f aca="false">IF(E194="Yes","Yes","No")</f>
        <v>No</v>
      </c>
      <c r="R194" s="1" t="str">
        <f aca="false">IF(H194="Yes","Yes","No")</f>
        <v>No</v>
      </c>
      <c r="S194" s="2" t="s">
        <v>772</v>
      </c>
      <c r="T194" s="2" t="s">
        <v>35</v>
      </c>
      <c r="U194" s="2" t="s">
        <v>36</v>
      </c>
    </row>
    <row r="195" customFormat="false" ht="27.75" hidden="false" customHeight="true" outlineLevel="0" collapsed="false">
      <c r="A195" s="6" t="s">
        <v>773</v>
      </c>
      <c r="B195" s="6" t="s">
        <v>63</v>
      </c>
      <c r="C195" s="6" t="s">
        <v>136</v>
      </c>
      <c r="D195" s="6" t="s">
        <v>774</v>
      </c>
      <c r="E195" s="6" t="s">
        <v>26</v>
      </c>
      <c r="F195" s="6" t="n">
        <v>70</v>
      </c>
      <c r="G195" s="6" t="s">
        <v>210</v>
      </c>
      <c r="H195" s="6" t="s">
        <v>25</v>
      </c>
      <c r="I195" s="6" t="s">
        <v>136</v>
      </c>
      <c r="J195" s="6" t="s">
        <v>51</v>
      </c>
      <c r="K195" s="6" t="s">
        <v>52</v>
      </c>
      <c r="L195" s="6" t="s">
        <v>53</v>
      </c>
      <c r="M195" s="6" t="s">
        <v>195</v>
      </c>
      <c r="N195" s="6" t="s">
        <v>196</v>
      </c>
      <c r="O195" s="6" t="s">
        <v>33</v>
      </c>
      <c r="P195" s="1" t="str">
        <f aca="false">IF(H195="Yes",IF(J195="MLS","Pro - MLS",IF(J195="MLS NEXT Pro","Pro - MLS NEXT Pro",IF(J195="USL Championship","Pro - USL Championship",IF(J195="USL League One","Pro - USL League One","Pro - Other")))),IF(H195="No",IF(K195="Amateur / Pre-Professional","Amateur / Pre-Professional","Returned to College"),"Unknown"))</f>
        <v>Returned to College</v>
      </c>
      <c r="Q195" s="1" t="str">
        <f aca="false">IF(E195="Yes","Yes","No")</f>
        <v>Yes</v>
      </c>
      <c r="R195" s="1" t="str">
        <f aca="false">IF(H195="Yes","Yes","No")</f>
        <v>No</v>
      </c>
      <c r="U195" s="2" t="s">
        <v>56</v>
      </c>
    </row>
    <row r="196" customFormat="false" ht="15" hidden="false" customHeight="true" outlineLevel="0" collapsed="false">
      <c r="A196" s="6" t="s">
        <v>775</v>
      </c>
      <c r="B196" s="6" t="s">
        <v>38</v>
      </c>
      <c r="C196" s="6" t="s">
        <v>115</v>
      </c>
      <c r="D196" s="6" t="s">
        <v>387</v>
      </c>
      <c r="E196" s="6" t="s">
        <v>25</v>
      </c>
      <c r="F196" s="6"/>
      <c r="G196" s="6"/>
      <c r="H196" s="6"/>
      <c r="I196" s="6"/>
      <c r="J196" s="6"/>
      <c r="K196" s="6" t="s">
        <v>88</v>
      </c>
      <c r="L196" s="6" t="s">
        <v>30</v>
      </c>
      <c r="M196" s="6"/>
      <c r="N196" s="6"/>
      <c r="O196" s="6" t="s">
        <v>71</v>
      </c>
      <c r="P196" s="1" t="str">
        <f aca="false">IF(H196="Yes",IF(J196="MLS","Pro - MLS",IF(J196="MLS NEXT Pro","Pro - MLS NEXT Pro",IF(J196="USL Championship","Pro - USL Championship",IF(J196="USL League One","Pro - USL League One","Pro - Other")))),IF(H196="No",IF(K196="Amateur / Pre-Professional","Amateur / Pre-Professional","Returned to College"),"Unknown"))</f>
        <v>Unknown</v>
      </c>
      <c r="Q196" s="1" t="str">
        <f aca="false">IF(E196="Yes","Yes","No")</f>
        <v>No</v>
      </c>
      <c r="R196" s="1" t="str">
        <f aca="false">IF(H196="Yes","Yes","No")</f>
        <v>No</v>
      </c>
      <c r="S196" s="2" t="s">
        <v>776</v>
      </c>
      <c r="T196" s="2" t="s">
        <v>35</v>
      </c>
      <c r="U196" s="2" t="s">
        <v>36</v>
      </c>
    </row>
    <row r="197" customFormat="false" ht="15" hidden="false" customHeight="true" outlineLevel="0" collapsed="false">
      <c r="A197" s="6" t="s">
        <v>777</v>
      </c>
      <c r="B197" s="6" t="s">
        <v>63</v>
      </c>
      <c r="C197" s="6" t="s">
        <v>334</v>
      </c>
      <c r="D197" s="6" t="s">
        <v>766</v>
      </c>
      <c r="E197" s="6" t="s">
        <v>25</v>
      </c>
      <c r="F197" s="6"/>
      <c r="G197" s="6"/>
      <c r="H197" s="6"/>
      <c r="I197" s="6"/>
      <c r="J197" s="6"/>
      <c r="K197" s="6" t="s">
        <v>88</v>
      </c>
      <c r="L197" s="6" t="s">
        <v>30</v>
      </c>
      <c r="M197" s="6"/>
      <c r="N197" s="6"/>
      <c r="O197" s="6" t="s">
        <v>71</v>
      </c>
      <c r="P197" s="1" t="str">
        <f aca="false">IF(H197="Yes",IF(J197="MLS","Pro - MLS",IF(J197="MLS NEXT Pro","Pro - MLS NEXT Pro",IF(J197="USL Championship","Pro - USL Championship",IF(J197="USL League One","Pro - USL League One","Pro - Other")))),IF(H197="No",IF(K197="Amateur / Pre-Professional","Amateur / Pre-Professional","Returned to College"),"Unknown"))</f>
        <v>Unknown</v>
      </c>
      <c r="Q197" s="1" t="str">
        <f aca="false">IF(E197="Yes","Yes","No")</f>
        <v>No</v>
      </c>
      <c r="R197" s="1" t="str">
        <f aca="false">IF(H197="Yes","Yes","No")</f>
        <v>No</v>
      </c>
      <c r="S197" s="2" t="s">
        <v>778</v>
      </c>
      <c r="T197" s="2" t="s">
        <v>35</v>
      </c>
      <c r="U197" s="2" t="s">
        <v>779</v>
      </c>
    </row>
    <row r="198" customFormat="false" ht="15" hidden="false" customHeight="true" outlineLevel="0" collapsed="false">
      <c r="A198" s="6" t="s">
        <v>780</v>
      </c>
      <c r="B198" s="6" t="s">
        <v>63</v>
      </c>
      <c r="C198" s="6" t="s">
        <v>781</v>
      </c>
      <c r="D198" s="6"/>
      <c r="E198" s="6" t="s">
        <v>25</v>
      </c>
      <c r="F198" s="6"/>
      <c r="G198" s="6"/>
      <c r="H198" s="6"/>
      <c r="I198" s="6"/>
      <c r="J198" s="6"/>
      <c r="K198" s="6" t="s">
        <v>88</v>
      </c>
      <c r="L198" s="6" t="s">
        <v>83</v>
      </c>
      <c r="M198" s="6"/>
      <c r="N198" s="6"/>
      <c r="O198" s="6" t="s">
        <v>71</v>
      </c>
      <c r="P198" s="1" t="str">
        <f aca="false">IF(H198="Yes",IF(J198="MLS","Pro - MLS",IF(J198="MLS NEXT Pro","Pro - MLS NEXT Pro",IF(J198="USL Championship","Pro - USL Championship",IF(J198="USL League One","Pro - USL League One","Pro - Other")))),IF(H198="No",IF(K198="Amateur / Pre-Professional","Amateur / Pre-Professional","Returned to College"),"Unknown"))</f>
        <v>Unknown</v>
      </c>
      <c r="Q198" s="1" t="str">
        <f aca="false">IF(E198="Yes","Yes","No")</f>
        <v>No</v>
      </c>
      <c r="R198" s="1" t="str">
        <f aca="false">IF(H198="Yes","Yes","No")</f>
        <v>No</v>
      </c>
      <c r="S198" s="2" t="s">
        <v>782</v>
      </c>
      <c r="T198" s="2" t="s">
        <v>35</v>
      </c>
      <c r="U198" s="2" t="s">
        <v>783</v>
      </c>
    </row>
    <row r="199" customFormat="false" ht="15" hidden="false" customHeight="true" outlineLevel="0" collapsed="false">
      <c r="A199" s="6" t="s">
        <v>784</v>
      </c>
      <c r="B199" s="6" t="s">
        <v>48</v>
      </c>
      <c r="C199" s="6" t="s">
        <v>58</v>
      </c>
      <c r="D199" s="6" t="s">
        <v>548</v>
      </c>
      <c r="E199" s="6" t="s">
        <v>25</v>
      </c>
      <c r="F199" s="6"/>
      <c r="G199" s="6"/>
      <c r="H199" s="6" t="s">
        <v>26</v>
      </c>
      <c r="I199" s="6" t="s">
        <v>785</v>
      </c>
      <c r="J199" s="6" t="s">
        <v>76</v>
      </c>
      <c r="K199" s="6" t="s">
        <v>29</v>
      </c>
      <c r="L199" s="6" t="s">
        <v>30</v>
      </c>
      <c r="M199" s="6" t="s">
        <v>786</v>
      </c>
      <c r="N199" s="6" t="s">
        <v>787</v>
      </c>
      <c r="O199" s="6" t="s">
        <v>33</v>
      </c>
      <c r="P199" s="1" t="str">
        <f aca="false">IF(H199="Yes",IF(J199="MLS","Pro - MLS",IF(J199="MLS NEXT Pro","Pro - MLS NEXT Pro",IF(J199="USL Championship","Pro - USL Championship",IF(J199="USL League One","Pro - USL League One","Pro - Other")))),IF(H199="No",IF(K199="Amateur / Pre-Professional","Amateur / Pre-Professional","Returned to College"),"Unknown"))</f>
        <v>Pro - MLS NEXT Pro</v>
      </c>
      <c r="Q199" s="1" t="str">
        <f aca="false">IF(E199="Yes","Yes","No")</f>
        <v>No</v>
      </c>
      <c r="R199" s="1" t="str">
        <f aca="false">IF(H199="Yes","Yes","No")</f>
        <v>Yes</v>
      </c>
      <c r="S199" s="2" t="s">
        <v>364</v>
      </c>
      <c r="T199" s="2" t="s">
        <v>35</v>
      </c>
      <c r="U199" s="2" t="s">
        <v>36</v>
      </c>
    </row>
    <row r="200" customFormat="false" ht="27.75" hidden="false" customHeight="true" outlineLevel="0" collapsed="false">
      <c r="A200" s="6" t="s">
        <v>788</v>
      </c>
      <c r="B200" s="6" t="s">
        <v>48</v>
      </c>
      <c r="C200" s="6" t="s">
        <v>789</v>
      </c>
      <c r="D200" s="6"/>
      <c r="E200" s="6" t="s">
        <v>25</v>
      </c>
      <c r="F200" s="6"/>
      <c r="G200" s="6"/>
      <c r="H200" s="6" t="s">
        <v>25</v>
      </c>
      <c r="I200" s="6" t="s">
        <v>789</v>
      </c>
      <c r="J200" s="6" t="s">
        <v>51</v>
      </c>
      <c r="K200" s="6" t="s">
        <v>52</v>
      </c>
      <c r="L200" s="6" t="s">
        <v>83</v>
      </c>
      <c r="M200" s="6" t="s">
        <v>790</v>
      </c>
      <c r="N200" s="6" t="s">
        <v>791</v>
      </c>
      <c r="O200" s="6" t="s">
        <v>33</v>
      </c>
      <c r="P200" s="1" t="str">
        <f aca="false">IF(H200="Yes",IF(J200="MLS","Pro - MLS",IF(J200="MLS NEXT Pro","Pro - MLS NEXT Pro",IF(J200="USL Championship","Pro - USL Championship",IF(J200="USL League One","Pro - USL League One","Pro - Other")))),IF(H200="No",IF(K200="Amateur / Pre-Professional","Amateur / Pre-Professional","Returned to College"),"Unknown"))</f>
        <v>Returned to College</v>
      </c>
      <c r="Q200" s="1" t="str">
        <f aca="false">IF(E200="Yes","Yes","No")</f>
        <v>No</v>
      </c>
      <c r="R200" s="1" t="str">
        <f aca="false">IF(H200="Yes","Yes","No")</f>
        <v>No</v>
      </c>
      <c r="S200" s="2" t="s">
        <v>792</v>
      </c>
      <c r="T200" s="2" t="s">
        <v>35</v>
      </c>
      <c r="U200" s="2" t="s">
        <v>36</v>
      </c>
    </row>
    <row r="201" customFormat="false" ht="27.75" hidden="false" customHeight="true" outlineLevel="0" collapsed="false">
      <c r="A201" s="6" t="s">
        <v>793</v>
      </c>
      <c r="B201" s="6" t="s">
        <v>48</v>
      </c>
      <c r="C201" s="6" t="s">
        <v>136</v>
      </c>
      <c r="D201" s="6" t="s">
        <v>794</v>
      </c>
      <c r="E201" s="6" t="s">
        <v>25</v>
      </c>
      <c r="F201" s="6"/>
      <c r="G201" s="6"/>
      <c r="H201" s="6" t="s">
        <v>26</v>
      </c>
      <c r="I201" s="6" t="s">
        <v>515</v>
      </c>
      <c r="J201" s="6" t="s">
        <v>76</v>
      </c>
      <c r="K201" s="6" t="s">
        <v>29</v>
      </c>
      <c r="L201" s="6" t="s">
        <v>795</v>
      </c>
      <c r="M201" s="6" t="s">
        <v>796</v>
      </c>
      <c r="N201" s="6" t="s">
        <v>797</v>
      </c>
      <c r="O201" s="6" t="s">
        <v>33</v>
      </c>
      <c r="P201" s="1" t="str">
        <f aca="false">IF(H201="Yes",IF(J201="MLS","Pro - MLS",IF(J201="MLS NEXT Pro","Pro - MLS NEXT Pro",IF(J201="USL Championship","Pro - USL Championship",IF(J201="USL League One","Pro - USL League One","Pro - Other")))),IF(H201="No",IF(K201="Amateur / Pre-Professional","Amateur / Pre-Professional","Returned to College"),"Unknown"))</f>
        <v>Pro - MLS NEXT Pro</v>
      </c>
      <c r="Q201" s="1" t="str">
        <f aca="false">IF(E201="Yes","Yes","No")</f>
        <v>No</v>
      </c>
      <c r="R201" s="1" t="str">
        <f aca="false">IF(H201="Yes","Yes","No")</f>
        <v>Yes</v>
      </c>
      <c r="S201" s="2" t="s">
        <v>197</v>
      </c>
      <c r="T201" s="2" t="s">
        <v>35</v>
      </c>
      <c r="U201" s="2" t="s">
        <v>36</v>
      </c>
    </row>
    <row r="202" customFormat="false" ht="27.75" hidden="false" customHeight="true" outlineLevel="0" collapsed="false">
      <c r="A202" s="6" t="s">
        <v>798</v>
      </c>
      <c r="B202" s="6" t="s">
        <v>63</v>
      </c>
      <c r="C202" s="6" t="s">
        <v>331</v>
      </c>
      <c r="D202" s="6"/>
      <c r="E202" s="6" t="s">
        <v>26</v>
      </c>
      <c r="F202" s="6" t="n">
        <v>49</v>
      </c>
      <c r="G202" s="6" t="s">
        <v>601</v>
      </c>
      <c r="H202" s="6" t="s">
        <v>26</v>
      </c>
      <c r="I202" s="6" t="s">
        <v>149</v>
      </c>
      <c r="J202" s="6" t="s">
        <v>76</v>
      </c>
      <c r="K202" s="6" t="s">
        <v>29</v>
      </c>
      <c r="L202" s="6" t="s">
        <v>30</v>
      </c>
      <c r="M202" s="6" t="s">
        <v>133</v>
      </c>
      <c r="N202" s="6" t="s">
        <v>70</v>
      </c>
      <c r="O202" s="6" t="s">
        <v>71</v>
      </c>
      <c r="P202" s="1" t="str">
        <f aca="false">IF(H202="Yes",IF(J202="MLS","Pro - MLS",IF(J202="MLS NEXT Pro","Pro - MLS NEXT Pro",IF(J202="USL Championship","Pro - USL Championship",IF(J202="USL League One","Pro - USL League One","Pro - Other")))),IF(H202="No",IF(K202="Amateur / Pre-Professional","Amateur / Pre-Professional","Returned to College"),"Unknown"))</f>
        <v>Pro - MLS NEXT Pro</v>
      </c>
      <c r="Q202" s="1" t="str">
        <f aca="false">IF(E202="Yes","Yes","No")</f>
        <v>Yes</v>
      </c>
      <c r="R202" s="1" t="str">
        <f aca="false">IF(H202="Yes","Yes","No")</f>
        <v>Yes</v>
      </c>
      <c r="U202" s="2" t="s">
        <v>56</v>
      </c>
    </row>
    <row r="203" customFormat="false" ht="27.75" hidden="false" customHeight="true" outlineLevel="0" collapsed="false">
      <c r="A203" s="6" t="s">
        <v>799</v>
      </c>
      <c r="B203" s="6" t="s">
        <v>22</v>
      </c>
      <c r="C203" s="6" t="s">
        <v>800</v>
      </c>
      <c r="D203" s="6"/>
      <c r="E203" s="6" t="s">
        <v>25</v>
      </c>
      <c r="F203" s="6"/>
      <c r="G203" s="6"/>
      <c r="H203" s="6" t="s">
        <v>25</v>
      </c>
      <c r="I203" s="6" t="s">
        <v>179</v>
      </c>
      <c r="J203" s="6" t="s">
        <v>51</v>
      </c>
      <c r="K203" s="6" t="s">
        <v>52</v>
      </c>
      <c r="L203" s="6" t="s">
        <v>53</v>
      </c>
      <c r="M203" s="6" t="s">
        <v>180</v>
      </c>
      <c r="N203" s="6" t="s">
        <v>801</v>
      </c>
      <c r="O203" s="6" t="s">
        <v>33</v>
      </c>
      <c r="P203" s="1" t="str">
        <f aca="false">IF(H203="Yes",IF(J203="MLS","Pro - MLS",IF(J203="MLS NEXT Pro","Pro - MLS NEXT Pro",IF(J203="USL Championship","Pro - USL Championship",IF(J203="USL League One","Pro - USL League One","Pro - Other")))),IF(H203="No",IF(K203="Amateur / Pre-Professional","Amateur / Pre-Professional","Returned to College"),"Unknown"))</f>
        <v>Returned to College</v>
      </c>
      <c r="Q203" s="1" t="str">
        <f aca="false">IF(E203="Yes","Yes","No")</f>
        <v>No</v>
      </c>
      <c r="R203" s="1" t="str">
        <f aca="false">IF(H203="Yes","Yes","No")</f>
        <v>No</v>
      </c>
      <c r="S203" s="2" t="s">
        <v>802</v>
      </c>
      <c r="T203" s="2" t="s">
        <v>35</v>
      </c>
      <c r="U203" s="2" t="s">
        <v>36</v>
      </c>
    </row>
    <row r="204" customFormat="false" ht="15" hidden="false" customHeight="true" outlineLevel="0" collapsed="false">
      <c r="A204" s="6" t="s">
        <v>803</v>
      </c>
      <c r="B204" s="6" t="s">
        <v>63</v>
      </c>
      <c r="C204" s="6" t="s">
        <v>678</v>
      </c>
      <c r="D204" s="6"/>
      <c r="E204" s="6" t="s">
        <v>25</v>
      </c>
      <c r="F204" s="6"/>
      <c r="G204" s="6"/>
      <c r="H204" s="6" t="s">
        <v>25</v>
      </c>
      <c r="I204" s="6" t="s">
        <v>678</v>
      </c>
      <c r="J204" s="6" t="s">
        <v>51</v>
      </c>
      <c r="K204" s="6" t="s">
        <v>52</v>
      </c>
      <c r="L204" s="6" t="s">
        <v>53</v>
      </c>
      <c r="M204" s="6" t="s">
        <v>804</v>
      </c>
      <c r="N204" s="6" t="s">
        <v>805</v>
      </c>
      <c r="O204" s="6" t="s">
        <v>33</v>
      </c>
      <c r="P204" s="1" t="str">
        <f aca="false">IF(H204="Yes",IF(J204="MLS","Pro - MLS",IF(J204="MLS NEXT Pro","Pro - MLS NEXT Pro",IF(J204="USL Championship","Pro - USL Championship",IF(J204="USL League One","Pro - USL League One","Pro - Other")))),IF(H204="No",IF(K204="Amateur / Pre-Professional","Amateur / Pre-Professional","Returned to College"),"Unknown"))</f>
        <v>Returned to College</v>
      </c>
      <c r="Q204" s="1" t="str">
        <f aca="false">IF(E204="Yes","Yes","No")</f>
        <v>No</v>
      </c>
      <c r="R204" s="1" t="str">
        <f aca="false">IF(H204="Yes","Yes","No")</f>
        <v>No</v>
      </c>
      <c r="S204" s="2" t="s">
        <v>806</v>
      </c>
      <c r="T204" s="2" t="s">
        <v>35</v>
      </c>
      <c r="U204" s="2" t="s">
        <v>680</v>
      </c>
    </row>
    <row r="205" customFormat="false" ht="15" hidden="false" customHeight="true" outlineLevel="0" collapsed="false">
      <c r="A205" s="6" t="s">
        <v>807</v>
      </c>
      <c r="B205" s="6" t="s">
        <v>48</v>
      </c>
      <c r="C205" s="6" t="s">
        <v>73</v>
      </c>
      <c r="D205" s="6" t="s">
        <v>210</v>
      </c>
      <c r="E205" s="6" t="s">
        <v>25</v>
      </c>
      <c r="F205" s="6"/>
      <c r="G205" s="6"/>
      <c r="H205" s="6" t="s">
        <v>25</v>
      </c>
      <c r="I205" s="6" t="s">
        <v>73</v>
      </c>
      <c r="J205" s="6" t="s">
        <v>51</v>
      </c>
      <c r="K205" s="6" t="s">
        <v>52</v>
      </c>
      <c r="L205" s="6" t="s">
        <v>92</v>
      </c>
      <c r="M205" s="6" t="s">
        <v>808</v>
      </c>
      <c r="N205" s="6" t="s">
        <v>809</v>
      </c>
      <c r="O205" s="6" t="s">
        <v>33</v>
      </c>
      <c r="P205" s="1" t="str">
        <f aca="false">IF(H205="Yes",IF(J205="MLS","Pro - MLS",IF(J205="MLS NEXT Pro","Pro - MLS NEXT Pro",IF(J205="USL Championship","Pro - USL Championship",IF(J205="USL League One","Pro - USL League One","Pro - Other")))),IF(H205="No",IF(K205="Amateur / Pre-Professional","Amateur / Pre-Professional","Returned to College"),"Unknown"))</f>
        <v>Returned to College</v>
      </c>
      <c r="Q205" s="1" t="str">
        <f aca="false">IF(E205="Yes","Yes","No")</f>
        <v>No</v>
      </c>
      <c r="R205" s="1" t="str">
        <f aca="false">IF(H205="Yes","Yes","No")</f>
        <v>No</v>
      </c>
      <c r="S205" s="2" t="s">
        <v>808</v>
      </c>
      <c r="T205" s="2" t="s">
        <v>35</v>
      </c>
      <c r="U205" s="2" t="s">
        <v>810</v>
      </c>
    </row>
    <row r="206" customFormat="false" ht="15" hidden="false" customHeight="true" outlineLevel="0" collapsed="false">
      <c r="A206" s="6" t="s">
        <v>811</v>
      </c>
      <c r="B206" s="6" t="s">
        <v>38</v>
      </c>
      <c r="C206" s="6" t="s">
        <v>812</v>
      </c>
      <c r="D206" s="6"/>
      <c r="E206" s="6" t="s">
        <v>25</v>
      </c>
      <c r="F206" s="6"/>
      <c r="G206" s="6"/>
      <c r="H206" s="6"/>
      <c r="I206" s="6"/>
      <c r="J206" s="6"/>
      <c r="K206" s="6" t="s">
        <v>88</v>
      </c>
      <c r="L206" s="6" t="s">
        <v>267</v>
      </c>
      <c r="M206" s="6"/>
      <c r="N206" s="6"/>
      <c r="O206" s="6" t="s">
        <v>71</v>
      </c>
      <c r="P206" s="1" t="str">
        <f aca="false">IF(H206="Yes",IF(J206="MLS","Pro - MLS",IF(J206="MLS NEXT Pro","Pro - MLS NEXT Pro",IF(J206="USL Championship","Pro - USL Championship",IF(J206="USL League One","Pro - USL League One","Pro - Other")))),IF(H206="No",IF(K206="Amateur / Pre-Professional","Amateur / Pre-Professional","Returned to College"),"Unknown"))</f>
        <v>Unknown</v>
      </c>
      <c r="Q206" s="1" t="str">
        <f aca="false">IF(E206="Yes","Yes","No")</f>
        <v>No</v>
      </c>
      <c r="R206" s="1" t="str">
        <f aca="false">IF(H206="Yes","Yes","No")</f>
        <v>No</v>
      </c>
      <c r="S206" s="2" t="s">
        <v>813</v>
      </c>
      <c r="T206" s="2" t="s">
        <v>35</v>
      </c>
      <c r="U206" s="2" t="s">
        <v>36</v>
      </c>
    </row>
    <row r="207" customFormat="false" ht="15" hidden="false" customHeight="true" outlineLevel="0" collapsed="false">
      <c r="A207" s="6" t="s">
        <v>814</v>
      </c>
      <c r="B207" s="6" t="s">
        <v>22</v>
      </c>
      <c r="C207" s="6" t="s">
        <v>73</v>
      </c>
      <c r="D207" s="6"/>
      <c r="E207" s="6" t="s">
        <v>25</v>
      </c>
      <c r="F207" s="6"/>
      <c r="G207" s="6"/>
      <c r="H207" s="6" t="s">
        <v>25</v>
      </c>
      <c r="I207" s="6" t="s">
        <v>73</v>
      </c>
      <c r="J207" s="6" t="s">
        <v>51</v>
      </c>
      <c r="K207" s="6" t="s">
        <v>52</v>
      </c>
      <c r="L207" s="6" t="s">
        <v>53</v>
      </c>
      <c r="M207" s="6" t="s">
        <v>815</v>
      </c>
      <c r="N207" s="6" t="s">
        <v>816</v>
      </c>
      <c r="O207" s="6" t="s">
        <v>33</v>
      </c>
      <c r="P207" s="1" t="str">
        <f aca="false">IF(H207="Yes",IF(J207="MLS","Pro - MLS",IF(J207="MLS NEXT Pro","Pro - MLS NEXT Pro",IF(J207="USL Championship","Pro - USL Championship",IF(J207="USL League One","Pro - USL League One","Pro - Other")))),IF(H207="No",IF(K207="Amateur / Pre-Professional","Amateur / Pre-Professional","Returned to College"),"Unknown"))</f>
        <v>Returned to College</v>
      </c>
      <c r="Q207" s="1" t="str">
        <f aca="false">IF(E207="Yes","Yes","No")</f>
        <v>No</v>
      </c>
      <c r="R207" s="1" t="str">
        <f aca="false">IF(H207="Yes","Yes","No")</f>
        <v>No</v>
      </c>
      <c r="S207" s="2" t="s">
        <v>817</v>
      </c>
      <c r="T207" s="2" t="s">
        <v>35</v>
      </c>
      <c r="U207" s="2" t="s">
        <v>36</v>
      </c>
    </row>
    <row r="208" customFormat="false" ht="27.75" hidden="false" customHeight="true" outlineLevel="0" collapsed="false">
      <c r="A208" s="6" t="s">
        <v>818</v>
      </c>
      <c r="B208" s="6" t="s">
        <v>48</v>
      </c>
      <c r="C208" s="6" t="s">
        <v>447</v>
      </c>
      <c r="D208" s="6"/>
      <c r="E208" s="6" t="s">
        <v>26</v>
      </c>
      <c r="F208" s="6" t="n">
        <v>85</v>
      </c>
      <c r="G208" s="6" t="s">
        <v>121</v>
      </c>
      <c r="H208" s="6" t="s">
        <v>26</v>
      </c>
      <c r="I208" s="6" t="s">
        <v>360</v>
      </c>
      <c r="J208" s="6" t="s">
        <v>361</v>
      </c>
      <c r="K208" s="6" t="s">
        <v>29</v>
      </c>
      <c r="L208" s="6" t="s">
        <v>30</v>
      </c>
      <c r="M208" s="6" t="s">
        <v>133</v>
      </c>
      <c r="N208" s="6" t="s">
        <v>70</v>
      </c>
      <c r="O208" s="6" t="s">
        <v>71</v>
      </c>
      <c r="P208" s="1" t="str">
        <f aca="false">IF(H208="Yes",IF(J208="MLS","Pro - MLS",IF(J208="MLS NEXT Pro","Pro - MLS NEXT Pro",IF(J208="USL Championship","Pro - USL Championship",IF(J208="USL League One","Pro - USL League One","Pro - Other")))),IF(H208="No",IF(K208="Amateur / Pre-Professional","Amateur / Pre-Professional","Returned to College"),"Unknown"))</f>
        <v>Pro - USL Championship</v>
      </c>
      <c r="Q208" s="1" t="str">
        <f aca="false">IF(E208="Yes","Yes","No")</f>
        <v>Yes</v>
      </c>
      <c r="R208" s="1" t="str">
        <f aca="false">IF(H208="Yes","Yes","No")</f>
        <v>Yes</v>
      </c>
      <c r="U208" s="2" t="s">
        <v>56</v>
      </c>
    </row>
    <row r="209" customFormat="false" ht="15" hidden="false" customHeight="true" outlineLevel="0" collapsed="false">
      <c r="A209" s="6" t="s">
        <v>819</v>
      </c>
      <c r="B209" s="6" t="s">
        <v>63</v>
      </c>
      <c r="C209" s="6" t="s">
        <v>820</v>
      </c>
      <c r="D209" s="6" t="s">
        <v>601</v>
      </c>
      <c r="E209" s="6" t="s">
        <v>25</v>
      </c>
      <c r="F209" s="6"/>
      <c r="G209" s="6"/>
      <c r="H209" s="6"/>
      <c r="I209" s="6"/>
      <c r="J209" s="6"/>
      <c r="K209" s="6" t="s">
        <v>88</v>
      </c>
      <c r="L209" s="6" t="s">
        <v>30</v>
      </c>
      <c r="M209" s="6"/>
      <c r="N209" s="6"/>
      <c r="O209" s="6" t="s">
        <v>71</v>
      </c>
      <c r="P209" s="1" t="str">
        <f aca="false">IF(H209="Yes",IF(J209="MLS","Pro - MLS",IF(J209="MLS NEXT Pro","Pro - MLS NEXT Pro",IF(J209="USL Championship","Pro - USL Championship",IF(J209="USL League One","Pro - USL League One","Pro - Other")))),IF(H209="No",IF(K209="Amateur / Pre-Professional","Amateur / Pre-Professional","Returned to College"),"Unknown"))</f>
        <v>Unknown</v>
      </c>
      <c r="Q209" s="1" t="str">
        <f aca="false">IF(E209="Yes","Yes","No")</f>
        <v>No</v>
      </c>
      <c r="R209" s="1" t="str">
        <f aca="false">IF(H209="Yes","Yes","No")</f>
        <v>No</v>
      </c>
      <c r="S209" s="2" t="s">
        <v>821</v>
      </c>
      <c r="T209" s="2" t="s">
        <v>35</v>
      </c>
      <c r="U209" s="2" t="s">
        <v>36</v>
      </c>
    </row>
    <row r="210" customFormat="false" ht="27.75" hidden="false" customHeight="true" outlineLevel="0" collapsed="false">
      <c r="A210" s="6" t="s">
        <v>822</v>
      </c>
      <c r="B210" s="6" t="s">
        <v>48</v>
      </c>
      <c r="C210" s="6" t="s">
        <v>81</v>
      </c>
      <c r="D210" s="6" t="s">
        <v>823</v>
      </c>
      <c r="E210" s="6" t="s">
        <v>25</v>
      </c>
      <c r="F210" s="6"/>
      <c r="G210" s="6"/>
      <c r="H210" s="6" t="s">
        <v>25</v>
      </c>
      <c r="I210" s="6" t="s">
        <v>81</v>
      </c>
      <c r="J210" s="6" t="s">
        <v>51</v>
      </c>
      <c r="K210" s="6" t="s">
        <v>52</v>
      </c>
      <c r="L210" s="6" t="s">
        <v>68</v>
      </c>
      <c r="M210" s="6" t="s">
        <v>225</v>
      </c>
      <c r="N210" s="6" t="s">
        <v>226</v>
      </c>
      <c r="O210" s="6" t="s">
        <v>33</v>
      </c>
      <c r="P210" s="1" t="str">
        <f aca="false">IF(H210="Yes",IF(J210="MLS","Pro - MLS",IF(J210="MLS NEXT Pro","Pro - MLS NEXT Pro",IF(J210="USL Championship","Pro - USL Championship",IF(J210="USL League One","Pro - USL League One","Pro - Other")))),IF(H210="No",IF(K210="Amateur / Pre-Professional","Amateur / Pre-Professional","Returned to College"),"Unknown"))</f>
        <v>Returned to College</v>
      </c>
      <c r="Q210" s="1" t="str">
        <f aca="false">IF(E210="Yes","Yes","No")</f>
        <v>No</v>
      </c>
      <c r="R210" s="1" t="str">
        <f aca="false">IF(H210="Yes","Yes","No")</f>
        <v>No</v>
      </c>
      <c r="U210" s="2" t="s">
        <v>56</v>
      </c>
    </row>
    <row r="211" customFormat="false" ht="15" hidden="false" customHeight="true" outlineLevel="0" collapsed="false">
      <c r="A211" s="6" t="s">
        <v>824</v>
      </c>
      <c r="B211" s="6" t="s">
        <v>22</v>
      </c>
      <c r="C211" s="6" t="s">
        <v>825</v>
      </c>
      <c r="D211" s="6"/>
      <c r="E211" s="6" t="s">
        <v>25</v>
      </c>
      <c r="F211" s="6"/>
      <c r="G211" s="6"/>
      <c r="H211" s="6" t="s">
        <v>25</v>
      </c>
      <c r="I211" s="6" t="s">
        <v>825</v>
      </c>
      <c r="J211" s="6" t="s">
        <v>51</v>
      </c>
      <c r="K211" s="6" t="s">
        <v>52</v>
      </c>
      <c r="L211" s="6" t="s">
        <v>53</v>
      </c>
      <c r="M211" s="6" t="s">
        <v>826</v>
      </c>
      <c r="N211" s="6" t="s">
        <v>827</v>
      </c>
      <c r="O211" s="6" t="s">
        <v>33</v>
      </c>
      <c r="P211" s="1" t="str">
        <f aca="false">IF(H211="Yes",IF(J211="MLS","Pro - MLS",IF(J211="MLS NEXT Pro","Pro - MLS NEXT Pro",IF(J211="USL Championship","Pro - USL Championship",IF(J211="USL League One","Pro - USL League One","Pro - Other")))),IF(H211="No",IF(K211="Amateur / Pre-Professional","Amateur / Pre-Professional","Returned to College"),"Unknown"))</f>
        <v>Returned to College</v>
      </c>
      <c r="Q211" s="1" t="str">
        <f aca="false">IF(E211="Yes","Yes","No")</f>
        <v>No</v>
      </c>
      <c r="R211" s="1" t="str">
        <f aca="false">IF(H211="Yes","Yes","No")</f>
        <v>No</v>
      </c>
      <c r="S211" s="2" t="s">
        <v>828</v>
      </c>
      <c r="T211" s="2" t="s">
        <v>35</v>
      </c>
      <c r="U211" s="2" t="s">
        <v>829</v>
      </c>
    </row>
    <row r="212" customFormat="false" ht="27.75" hidden="false" customHeight="true" outlineLevel="0" collapsed="false">
      <c r="A212" s="6" t="s">
        <v>830</v>
      </c>
      <c r="B212" s="6" t="s">
        <v>22</v>
      </c>
      <c r="C212" s="6" t="s">
        <v>148</v>
      </c>
      <c r="D212" s="6"/>
      <c r="E212" s="6" t="s">
        <v>26</v>
      </c>
      <c r="F212" s="6" t="n">
        <v>90</v>
      </c>
      <c r="G212" s="6" t="s">
        <v>224</v>
      </c>
      <c r="H212" s="6" t="s">
        <v>26</v>
      </c>
      <c r="I212" s="6" t="s">
        <v>583</v>
      </c>
      <c r="J212" s="6" t="s">
        <v>76</v>
      </c>
      <c r="K212" s="6" t="s">
        <v>29</v>
      </c>
      <c r="L212" s="6" t="s">
        <v>30</v>
      </c>
      <c r="M212" s="6" t="s">
        <v>133</v>
      </c>
      <c r="N212" s="6" t="s">
        <v>70</v>
      </c>
      <c r="O212" s="6" t="s">
        <v>71</v>
      </c>
      <c r="P212" s="1" t="str">
        <f aca="false">IF(H212="Yes",IF(J212="MLS","Pro - MLS",IF(J212="MLS NEXT Pro","Pro - MLS NEXT Pro",IF(J212="USL Championship","Pro - USL Championship",IF(J212="USL League One","Pro - USL League One","Pro - Other")))),IF(H212="No",IF(K212="Amateur / Pre-Professional","Amateur / Pre-Professional","Returned to College"),"Unknown"))</f>
        <v>Pro - MLS NEXT Pro</v>
      </c>
      <c r="Q212" s="1" t="str">
        <f aca="false">IF(E212="Yes","Yes","No")</f>
        <v>Yes</v>
      </c>
      <c r="R212" s="1" t="str">
        <f aca="false">IF(H212="Yes","Yes","No")</f>
        <v>Yes</v>
      </c>
      <c r="U212" s="2" t="s">
        <v>56</v>
      </c>
    </row>
    <row r="213" customFormat="false" ht="15" hidden="false" customHeight="true" outlineLevel="0" collapsed="false">
      <c r="A213" s="6" t="s">
        <v>831</v>
      </c>
      <c r="B213" s="6" t="s">
        <v>63</v>
      </c>
      <c r="C213" s="6" t="s">
        <v>400</v>
      </c>
      <c r="D213" s="6"/>
      <c r="E213" s="6" t="s">
        <v>25</v>
      </c>
      <c r="F213" s="6"/>
      <c r="G213" s="6"/>
      <c r="H213" s="6" t="s">
        <v>25</v>
      </c>
      <c r="I213" s="6" t="s">
        <v>400</v>
      </c>
      <c r="J213" s="6" t="s">
        <v>51</v>
      </c>
      <c r="K213" s="6" t="s">
        <v>52</v>
      </c>
      <c r="L213" s="6" t="s">
        <v>53</v>
      </c>
      <c r="M213" s="6" t="s">
        <v>832</v>
      </c>
      <c r="N213" s="6" t="s">
        <v>833</v>
      </c>
      <c r="O213" s="6" t="s">
        <v>33</v>
      </c>
      <c r="P213" s="1" t="str">
        <f aca="false">IF(H213="Yes",IF(J213="MLS","Pro - MLS",IF(J213="MLS NEXT Pro","Pro - MLS NEXT Pro",IF(J213="USL Championship","Pro - USL Championship",IF(J213="USL League One","Pro - USL League One","Pro - Other")))),IF(H213="No",IF(K213="Amateur / Pre-Professional","Amateur / Pre-Professional","Returned to College"),"Unknown"))</f>
        <v>Returned to College</v>
      </c>
      <c r="Q213" s="1" t="str">
        <f aca="false">IF(E213="Yes","Yes","No")</f>
        <v>No</v>
      </c>
      <c r="R213" s="1" t="str">
        <f aca="false">IF(H213="Yes","Yes","No")</f>
        <v>No</v>
      </c>
      <c r="S213" s="2" t="s">
        <v>403</v>
      </c>
      <c r="T213" s="2" t="s">
        <v>35</v>
      </c>
      <c r="U213" s="2" t="s">
        <v>36</v>
      </c>
    </row>
    <row r="214" customFormat="false" ht="15" hidden="false" customHeight="true" outlineLevel="0" collapsed="false">
      <c r="A214" s="6" t="s">
        <v>834</v>
      </c>
      <c r="B214" s="6" t="s">
        <v>63</v>
      </c>
      <c r="C214" s="6" t="s">
        <v>835</v>
      </c>
      <c r="D214" s="6"/>
      <c r="E214" s="6" t="s">
        <v>25</v>
      </c>
      <c r="F214" s="6"/>
      <c r="G214" s="6"/>
      <c r="H214" s="6" t="s">
        <v>25</v>
      </c>
      <c r="I214" s="6" t="s">
        <v>835</v>
      </c>
      <c r="J214" s="6" t="s">
        <v>51</v>
      </c>
      <c r="K214" s="6" t="s">
        <v>52</v>
      </c>
      <c r="L214" s="6" t="s">
        <v>92</v>
      </c>
      <c r="M214" s="6" t="s">
        <v>836</v>
      </c>
      <c r="N214" s="6" t="s">
        <v>837</v>
      </c>
      <c r="O214" s="6" t="s">
        <v>33</v>
      </c>
      <c r="P214" s="1" t="str">
        <f aca="false">IF(H214="Yes",IF(J214="MLS","Pro - MLS",IF(J214="MLS NEXT Pro","Pro - MLS NEXT Pro",IF(J214="USL Championship","Pro - USL Championship",IF(J214="USL League One","Pro - USL League One","Pro - Other")))),IF(H214="No",IF(K214="Amateur / Pre-Professional","Amateur / Pre-Professional","Returned to College"),"Unknown"))</f>
        <v>Returned to College</v>
      </c>
      <c r="Q214" s="1" t="str">
        <f aca="false">IF(E214="Yes","Yes","No")</f>
        <v>No</v>
      </c>
      <c r="R214" s="1" t="str">
        <f aca="false">IF(H214="Yes","Yes","No")</f>
        <v>No</v>
      </c>
      <c r="S214" s="2" t="s">
        <v>838</v>
      </c>
      <c r="T214" s="2" t="s">
        <v>35</v>
      </c>
      <c r="U214" s="2" t="s">
        <v>839</v>
      </c>
    </row>
    <row r="215" customFormat="false" ht="15" hidden="false" customHeight="true" outlineLevel="0" collapsed="false">
      <c r="A215" s="6" t="s">
        <v>840</v>
      </c>
      <c r="B215" s="6" t="s">
        <v>22</v>
      </c>
      <c r="C215" s="6" t="s">
        <v>91</v>
      </c>
      <c r="D215" s="6"/>
      <c r="E215" s="6" t="s">
        <v>25</v>
      </c>
      <c r="F215" s="6"/>
      <c r="G215" s="6"/>
      <c r="H215" s="6" t="s">
        <v>26</v>
      </c>
      <c r="I215" s="6" t="s">
        <v>200</v>
      </c>
      <c r="J215" s="6" t="s">
        <v>76</v>
      </c>
      <c r="K215" s="6" t="s">
        <v>29</v>
      </c>
      <c r="L215" s="6" t="s">
        <v>83</v>
      </c>
      <c r="M215" s="6" t="s">
        <v>841</v>
      </c>
      <c r="N215" s="6" t="s">
        <v>842</v>
      </c>
      <c r="O215" s="6" t="s">
        <v>33</v>
      </c>
      <c r="P215" s="1" t="str">
        <f aca="false">IF(H215="Yes",IF(J215="MLS","Pro - MLS",IF(J215="MLS NEXT Pro","Pro - MLS NEXT Pro",IF(J215="USL Championship","Pro - USL Championship",IF(J215="USL League One","Pro - USL League One","Pro - Other")))),IF(H215="No",IF(K215="Amateur / Pre-Professional","Amateur / Pre-Professional","Returned to College"),"Unknown"))</f>
        <v>Pro - MLS NEXT Pro</v>
      </c>
      <c r="Q215" s="1" t="str">
        <f aca="false">IF(E215="Yes","Yes","No")</f>
        <v>No</v>
      </c>
      <c r="R215" s="1" t="str">
        <f aca="false">IF(H215="Yes","Yes","No")</f>
        <v>Yes</v>
      </c>
      <c r="S215" s="2" t="s">
        <v>843</v>
      </c>
      <c r="T215" s="2" t="s">
        <v>35</v>
      </c>
      <c r="U215" s="2" t="s">
        <v>36</v>
      </c>
    </row>
    <row r="216" customFormat="false" ht="15" hidden="false" customHeight="true" outlineLevel="0" collapsed="false">
      <c r="A216" s="6" t="s">
        <v>844</v>
      </c>
      <c r="B216" s="6" t="s">
        <v>48</v>
      </c>
      <c r="C216" s="6" t="s">
        <v>58</v>
      </c>
      <c r="D216" s="6"/>
      <c r="E216" s="6" t="s">
        <v>25</v>
      </c>
      <c r="F216" s="6"/>
      <c r="G216" s="6"/>
      <c r="H216" s="6" t="s">
        <v>25</v>
      </c>
      <c r="I216" s="6" t="s">
        <v>58</v>
      </c>
      <c r="J216" s="6" t="s">
        <v>51</v>
      </c>
      <c r="K216" s="6" t="s">
        <v>52</v>
      </c>
      <c r="L216" s="6" t="s">
        <v>83</v>
      </c>
      <c r="M216" s="6" t="s">
        <v>60</v>
      </c>
      <c r="N216" s="6" t="s">
        <v>845</v>
      </c>
      <c r="O216" s="6" t="s">
        <v>33</v>
      </c>
      <c r="P216" s="1" t="str">
        <f aca="false">IF(H216="Yes",IF(J216="MLS","Pro - MLS",IF(J216="MLS NEXT Pro","Pro - MLS NEXT Pro",IF(J216="USL Championship","Pro - USL Championship",IF(J216="USL League One","Pro - USL League One","Pro - Other")))),IF(H216="No",IF(K216="Amateur / Pre-Professional","Amateur / Pre-Professional","Returned to College"),"Unknown"))</f>
        <v>Returned to College</v>
      </c>
      <c r="Q216" s="1" t="str">
        <f aca="false">IF(E216="Yes","Yes","No")</f>
        <v>No</v>
      </c>
      <c r="R216" s="1" t="str">
        <f aca="false">IF(H216="Yes","Yes","No")</f>
        <v>No</v>
      </c>
      <c r="S216" s="2" t="s">
        <v>364</v>
      </c>
      <c r="T216" s="2" t="s">
        <v>35</v>
      </c>
      <c r="U216" s="2" t="s">
        <v>36</v>
      </c>
    </row>
    <row r="217" customFormat="false" ht="15" hidden="false" customHeight="true" outlineLevel="0" collapsed="false">
      <c r="A217" s="6" t="s">
        <v>846</v>
      </c>
      <c r="B217" s="6" t="s">
        <v>22</v>
      </c>
      <c r="C217" s="6" t="s">
        <v>847</v>
      </c>
      <c r="D217" s="6"/>
      <c r="E217" s="6" t="s">
        <v>25</v>
      </c>
      <c r="F217" s="6"/>
      <c r="G217" s="6"/>
      <c r="H217" s="6"/>
      <c r="I217" s="6"/>
      <c r="J217" s="6"/>
      <c r="K217" s="6" t="s">
        <v>88</v>
      </c>
      <c r="L217" s="6" t="s">
        <v>83</v>
      </c>
      <c r="M217" s="6"/>
      <c r="N217" s="6"/>
      <c r="O217" s="6" t="s">
        <v>71</v>
      </c>
      <c r="P217" s="1" t="str">
        <f aca="false">IF(H217="Yes",IF(J217="MLS","Pro - MLS",IF(J217="MLS NEXT Pro","Pro - MLS NEXT Pro",IF(J217="USL Championship","Pro - USL Championship",IF(J217="USL League One","Pro - USL League One","Pro - Other")))),IF(H217="No",IF(K217="Amateur / Pre-Professional","Amateur / Pre-Professional","Returned to College"),"Unknown"))</f>
        <v>Unknown</v>
      </c>
      <c r="Q217" s="1" t="str">
        <f aca="false">IF(E217="Yes","Yes","No")</f>
        <v>No</v>
      </c>
      <c r="R217" s="1" t="str">
        <f aca="false">IF(H217="Yes","Yes","No")</f>
        <v>No</v>
      </c>
      <c r="S217" s="2" t="s">
        <v>848</v>
      </c>
      <c r="T217" s="2" t="s">
        <v>35</v>
      </c>
      <c r="U217" s="2" t="s">
        <v>849</v>
      </c>
    </row>
    <row r="218" customFormat="false" ht="27.75" hidden="false" customHeight="true" outlineLevel="0" collapsed="false">
      <c r="A218" s="6" t="s">
        <v>850</v>
      </c>
      <c r="B218" s="6" t="s">
        <v>48</v>
      </c>
      <c r="C218" s="6" t="s">
        <v>280</v>
      </c>
      <c r="D218" s="6" t="s">
        <v>851</v>
      </c>
      <c r="E218" s="6" t="s">
        <v>26</v>
      </c>
      <c r="F218" s="6" t="n">
        <v>25</v>
      </c>
      <c r="G218" s="6" t="s">
        <v>137</v>
      </c>
      <c r="H218" s="6" t="s">
        <v>26</v>
      </c>
      <c r="I218" s="6" t="s">
        <v>852</v>
      </c>
      <c r="J218" s="6" t="s">
        <v>76</v>
      </c>
      <c r="K218" s="6" t="s">
        <v>29</v>
      </c>
      <c r="L218" s="6" t="s">
        <v>30</v>
      </c>
      <c r="M218" s="6" t="s">
        <v>133</v>
      </c>
      <c r="N218" s="6" t="s">
        <v>70</v>
      </c>
      <c r="O218" s="6" t="s">
        <v>71</v>
      </c>
      <c r="P218" s="1" t="str">
        <f aca="false">IF(H218="Yes",IF(J218="MLS","Pro - MLS",IF(J218="MLS NEXT Pro","Pro - MLS NEXT Pro",IF(J218="USL Championship","Pro - USL Championship",IF(J218="USL League One","Pro - USL League One","Pro - Other")))),IF(H218="No",IF(K218="Amateur / Pre-Professional","Amateur / Pre-Professional","Returned to College"),"Unknown"))</f>
        <v>Pro - MLS NEXT Pro</v>
      </c>
      <c r="Q218" s="1" t="str">
        <f aca="false">IF(E218="Yes","Yes","No")</f>
        <v>Yes</v>
      </c>
      <c r="R218" s="1" t="str">
        <f aca="false">IF(H218="Yes","Yes","No")</f>
        <v>Yes</v>
      </c>
      <c r="U218" s="2" t="s">
        <v>56</v>
      </c>
    </row>
    <row r="219" customFormat="false" ht="15" hidden="false" customHeight="true" outlineLevel="0" collapsed="false">
      <c r="A219" s="6" t="s">
        <v>853</v>
      </c>
      <c r="B219" s="6" t="s">
        <v>63</v>
      </c>
      <c r="C219" s="6" t="s">
        <v>136</v>
      </c>
      <c r="D219" s="6" t="s">
        <v>854</v>
      </c>
      <c r="E219" s="6" t="s">
        <v>25</v>
      </c>
      <c r="F219" s="6"/>
      <c r="G219" s="6"/>
      <c r="H219" s="6"/>
      <c r="I219" s="6"/>
      <c r="J219" s="6"/>
      <c r="K219" s="6" t="s">
        <v>88</v>
      </c>
      <c r="L219" s="6" t="s">
        <v>30</v>
      </c>
      <c r="M219" s="6"/>
      <c r="N219" s="6"/>
      <c r="O219" s="6" t="s">
        <v>71</v>
      </c>
      <c r="P219" s="1" t="str">
        <f aca="false">IF(H219="Yes",IF(J219="MLS","Pro - MLS",IF(J219="MLS NEXT Pro","Pro - MLS NEXT Pro",IF(J219="USL Championship","Pro - USL Championship",IF(J219="USL League One","Pro - USL League One","Pro - Other")))),IF(H219="No",IF(K219="Amateur / Pre-Professional","Amateur / Pre-Professional","Returned to College"),"Unknown"))</f>
        <v>Unknown</v>
      </c>
      <c r="Q219" s="1" t="str">
        <f aca="false">IF(E219="Yes","Yes","No")</f>
        <v>No</v>
      </c>
      <c r="R219" s="1" t="str">
        <f aca="false">IF(H219="Yes","Yes","No")</f>
        <v>No</v>
      </c>
      <c r="S219" s="2" t="s">
        <v>197</v>
      </c>
      <c r="T219" s="2" t="s">
        <v>35</v>
      </c>
      <c r="U219" s="2" t="s">
        <v>36</v>
      </c>
    </row>
    <row r="220" customFormat="false" ht="27.75" hidden="false" customHeight="true" outlineLevel="0" collapsed="false">
      <c r="A220" s="6" t="s">
        <v>855</v>
      </c>
      <c r="B220" s="6" t="s">
        <v>48</v>
      </c>
      <c r="C220" s="6" t="s">
        <v>535</v>
      </c>
      <c r="D220" s="6"/>
      <c r="E220" s="6" t="s">
        <v>25</v>
      </c>
      <c r="F220" s="6"/>
      <c r="G220" s="6"/>
      <c r="H220" s="6" t="s">
        <v>26</v>
      </c>
      <c r="I220" s="6" t="s">
        <v>856</v>
      </c>
      <c r="J220" s="6" t="s">
        <v>76</v>
      </c>
      <c r="K220" s="6" t="s">
        <v>29</v>
      </c>
      <c r="L220" s="6" t="s">
        <v>30</v>
      </c>
      <c r="M220" s="6" t="s">
        <v>857</v>
      </c>
      <c r="N220" s="6" t="s">
        <v>858</v>
      </c>
      <c r="O220" s="6" t="s">
        <v>33</v>
      </c>
      <c r="P220" s="1" t="str">
        <f aca="false">IF(H220="Yes",IF(J220="MLS","Pro - MLS",IF(J220="MLS NEXT Pro","Pro - MLS NEXT Pro",IF(J220="USL Championship","Pro - USL Championship",IF(J220="USL League One","Pro - USL League One","Pro - Other")))),IF(H220="No",IF(K220="Amateur / Pre-Professional","Amateur / Pre-Professional","Returned to College"),"Unknown"))</f>
        <v>Pro - MLS NEXT Pro</v>
      </c>
      <c r="Q220" s="1" t="str">
        <f aca="false">IF(E220="Yes","Yes","No")</f>
        <v>No</v>
      </c>
      <c r="R220" s="1" t="str">
        <f aca="false">IF(H220="Yes","Yes","No")</f>
        <v>Yes</v>
      </c>
      <c r="S220" s="2" t="s">
        <v>859</v>
      </c>
      <c r="T220" s="2" t="s">
        <v>35</v>
      </c>
      <c r="U220" s="2" t="s">
        <v>36</v>
      </c>
    </row>
    <row r="221" customFormat="false" ht="15" hidden="false" customHeight="true" outlineLevel="0" collapsed="false">
      <c r="A221" s="6" t="s">
        <v>860</v>
      </c>
      <c r="B221" s="6" t="s">
        <v>63</v>
      </c>
      <c r="C221" s="6" t="s">
        <v>155</v>
      </c>
      <c r="D221" s="6" t="s">
        <v>278</v>
      </c>
      <c r="E221" s="6" t="s">
        <v>25</v>
      </c>
      <c r="F221" s="6"/>
      <c r="G221" s="6"/>
      <c r="H221" s="6"/>
      <c r="I221" s="6"/>
      <c r="J221" s="6"/>
      <c r="K221" s="6" t="s">
        <v>88</v>
      </c>
      <c r="L221" s="6" t="s">
        <v>30</v>
      </c>
      <c r="M221" s="6"/>
      <c r="N221" s="6"/>
      <c r="O221" s="6" t="s">
        <v>71</v>
      </c>
      <c r="P221" s="1" t="str">
        <f aca="false">IF(H221="Yes",IF(J221="MLS","Pro - MLS",IF(J221="MLS NEXT Pro","Pro - MLS NEXT Pro",IF(J221="USL Championship","Pro - USL Championship",IF(J221="USL League One","Pro - USL League One","Pro - Other")))),IF(H221="No",IF(K221="Amateur / Pre-Professional","Amateur / Pre-Professional","Returned to College"),"Unknown"))</f>
        <v>Unknown</v>
      </c>
      <c r="Q221" s="1" t="str">
        <f aca="false">IF(E221="Yes","Yes","No")</f>
        <v>No</v>
      </c>
      <c r="R221" s="1" t="str">
        <f aca="false">IF(H221="Yes","Yes","No")</f>
        <v>No</v>
      </c>
      <c r="S221" s="2" t="s">
        <v>157</v>
      </c>
      <c r="T221" s="2" t="s">
        <v>35</v>
      </c>
      <c r="U221" s="2" t="s">
        <v>36</v>
      </c>
    </row>
    <row r="222" customFormat="false" ht="27.75" hidden="false" customHeight="true" outlineLevel="0" collapsed="false">
      <c r="A222" s="6" t="s">
        <v>861</v>
      </c>
      <c r="B222" s="6" t="s">
        <v>48</v>
      </c>
      <c r="C222" s="6" t="s">
        <v>353</v>
      </c>
      <c r="D222" s="6"/>
      <c r="E222" s="6" t="s">
        <v>26</v>
      </c>
      <c r="F222" s="6" t="n">
        <v>55</v>
      </c>
      <c r="G222" s="6" t="s">
        <v>548</v>
      </c>
      <c r="H222" s="6" t="s">
        <v>26</v>
      </c>
      <c r="I222" s="6" t="s">
        <v>856</v>
      </c>
      <c r="J222" s="6" t="s">
        <v>76</v>
      </c>
      <c r="K222" s="6" t="s">
        <v>29</v>
      </c>
      <c r="L222" s="6" t="s">
        <v>30</v>
      </c>
      <c r="M222" s="6" t="s">
        <v>133</v>
      </c>
      <c r="N222" s="6" t="s">
        <v>70</v>
      </c>
      <c r="O222" s="6" t="s">
        <v>71</v>
      </c>
      <c r="P222" s="1" t="str">
        <f aca="false">IF(H222="Yes",IF(J222="MLS","Pro - MLS",IF(J222="MLS NEXT Pro","Pro - MLS NEXT Pro",IF(J222="USL Championship","Pro - USL Championship",IF(J222="USL League One","Pro - USL League One","Pro - Other")))),IF(H222="No",IF(K222="Amateur / Pre-Professional","Amateur / Pre-Professional","Returned to College"),"Unknown"))</f>
        <v>Pro - MLS NEXT Pro</v>
      </c>
      <c r="Q222" s="1" t="str">
        <f aca="false">IF(E222="Yes","Yes","No")</f>
        <v>Yes</v>
      </c>
      <c r="R222" s="1" t="str">
        <f aca="false">IF(H222="Yes","Yes","No")</f>
        <v>Yes</v>
      </c>
      <c r="U222" s="2" t="s">
        <v>56</v>
      </c>
    </row>
    <row r="223" customFormat="false" ht="15" hidden="false" customHeight="true" outlineLevel="0" collapsed="false">
      <c r="A223" s="6" t="s">
        <v>862</v>
      </c>
      <c r="B223" s="6" t="s">
        <v>48</v>
      </c>
      <c r="C223" s="6" t="s">
        <v>357</v>
      </c>
      <c r="D223" s="6"/>
      <c r="E223" s="6" t="s">
        <v>25</v>
      </c>
      <c r="F223" s="6"/>
      <c r="G223" s="6"/>
      <c r="H223" s="6" t="s">
        <v>25</v>
      </c>
      <c r="I223" s="6" t="s">
        <v>357</v>
      </c>
      <c r="J223" s="6" t="s">
        <v>51</v>
      </c>
      <c r="K223" s="6" t="s">
        <v>52</v>
      </c>
      <c r="L223" s="6" t="s">
        <v>53</v>
      </c>
      <c r="M223" s="6" t="s">
        <v>722</v>
      </c>
      <c r="N223" s="6" t="s">
        <v>863</v>
      </c>
      <c r="O223" s="6" t="s">
        <v>33</v>
      </c>
      <c r="P223" s="1" t="str">
        <f aca="false">IF(H223="Yes",IF(J223="MLS","Pro - MLS",IF(J223="MLS NEXT Pro","Pro - MLS NEXT Pro",IF(J223="USL Championship","Pro - USL Championship",IF(J223="USL League One","Pro - USL League One","Pro - Other")))),IF(H223="No",IF(K223="Amateur / Pre-Professional","Amateur / Pre-Professional","Returned to College"),"Unknown"))</f>
        <v>Returned to College</v>
      </c>
      <c r="Q223" s="1" t="str">
        <f aca="false">IF(E223="Yes","Yes","No")</f>
        <v>No</v>
      </c>
      <c r="R223" s="1" t="str">
        <f aca="false">IF(H223="Yes","Yes","No")</f>
        <v>No</v>
      </c>
      <c r="U223" s="2" t="s">
        <v>56</v>
      </c>
    </row>
    <row r="224" customFormat="false" ht="15" hidden="false" customHeight="true" outlineLevel="0" collapsed="false">
      <c r="A224" s="6" t="s">
        <v>864</v>
      </c>
      <c r="B224" s="6" t="s">
        <v>38</v>
      </c>
      <c r="C224" s="6" t="s">
        <v>687</v>
      </c>
      <c r="D224" s="6"/>
      <c r="E224" s="6" t="s">
        <v>25</v>
      </c>
      <c r="F224" s="6"/>
      <c r="G224" s="6"/>
      <c r="H224" s="6" t="s">
        <v>26</v>
      </c>
      <c r="I224" s="6" t="s">
        <v>865</v>
      </c>
      <c r="J224" s="6" t="s">
        <v>361</v>
      </c>
      <c r="K224" s="6" t="s">
        <v>29</v>
      </c>
      <c r="L224" s="6" t="s">
        <v>267</v>
      </c>
      <c r="M224" s="6" t="s">
        <v>866</v>
      </c>
      <c r="N224" s="6" t="s">
        <v>867</v>
      </c>
      <c r="O224" s="6" t="s">
        <v>33</v>
      </c>
      <c r="P224" s="1" t="str">
        <f aca="false">IF(H224="Yes",IF(J224="MLS","Pro - MLS",IF(J224="MLS NEXT Pro","Pro - MLS NEXT Pro",IF(J224="USL Championship","Pro - USL Championship",IF(J224="USL League One","Pro - USL League One","Pro - Other")))),IF(H224="No",IF(K224="Amateur / Pre-Professional","Amateur / Pre-Professional","Returned to College"),"Unknown"))</f>
        <v>Pro - USL Championship</v>
      </c>
      <c r="Q224" s="1" t="str">
        <f aca="false">IF(E224="Yes","Yes","No")</f>
        <v>No</v>
      </c>
      <c r="R224" s="1" t="str">
        <f aca="false">IF(H224="Yes","Yes","No")</f>
        <v>Yes</v>
      </c>
      <c r="S224" s="2" t="s">
        <v>688</v>
      </c>
      <c r="T224" s="2" t="s">
        <v>35</v>
      </c>
      <c r="U224" s="2" t="s">
        <v>36</v>
      </c>
    </row>
    <row r="225" customFormat="false" ht="15" hidden="false" customHeight="true" outlineLevel="0" collapsed="false">
      <c r="A225" s="6" t="s">
        <v>868</v>
      </c>
      <c r="B225" s="6" t="s">
        <v>48</v>
      </c>
      <c r="C225" s="6" t="s">
        <v>869</v>
      </c>
      <c r="D225" s="6"/>
      <c r="E225" s="6" t="s">
        <v>25</v>
      </c>
      <c r="F225" s="6"/>
      <c r="G225" s="6"/>
      <c r="H225" s="6" t="s">
        <v>25</v>
      </c>
      <c r="I225" s="6" t="s">
        <v>218</v>
      </c>
      <c r="J225" s="6" t="s">
        <v>51</v>
      </c>
      <c r="K225" s="6" t="s">
        <v>52</v>
      </c>
      <c r="L225" s="6" t="s">
        <v>53</v>
      </c>
      <c r="M225" s="6" t="s">
        <v>870</v>
      </c>
      <c r="N225" s="6" t="s">
        <v>871</v>
      </c>
      <c r="O225" s="6" t="s">
        <v>33</v>
      </c>
      <c r="P225" s="1" t="str">
        <f aca="false">IF(H225="Yes",IF(J225="MLS","Pro - MLS",IF(J225="MLS NEXT Pro","Pro - MLS NEXT Pro",IF(J225="USL Championship","Pro - USL Championship",IF(J225="USL League One","Pro - USL League One","Pro - Other")))),IF(H225="No",IF(K225="Amateur / Pre-Professional","Amateur / Pre-Professional","Returned to College"),"Unknown"))</f>
        <v>Returned to College</v>
      </c>
      <c r="Q225" s="1" t="str">
        <f aca="false">IF(E225="Yes","Yes","No")</f>
        <v>No</v>
      </c>
      <c r="R225" s="1" t="str">
        <f aca="false">IF(H225="Yes","Yes","No")</f>
        <v>No</v>
      </c>
      <c r="S225" s="2" t="s">
        <v>872</v>
      </c>
      <c r="T225" s="2" t="s">
        <v>35</v>
      </c>
      <c r="U225" s="2" t="s">
        <v>873</v>
      </c>
    </row>
    <row r="226" customFormat="false" ht="15" hidden="false" customHeight="true" outlineLevel="0" collapsed="false">
      <c r="A226" s="6" t="s">
        <v>874</v>
      </c>
      <c r="B226" s="6" t="s">
        <v>48</v>
      </c>
      <c r="C226" s="6" t="s">
        <v>461</v>
      </c>
      <c r="D226" s="6"/>
      <c r="E226" s="6" t="s">
        <v>25</v>
      </c>
      <c r="F226" s="6"/>
      <c r="G226" s="6"/>
      <c r="H226" s="6"/>
      <c r="I226" s="6"/>
      <c r="J226" s="6"/>
      <c r="K226" s="6" t="s">
        <v>88</v>
      </c>
      <c r="L226" s="6" t="s">
        <v>53</v>
      </c>
      <c r="M226" s="6"/>
      <c r="N226" s="6"/>
      <c r="O226" s="6" t="s">
        <v>71</v>
      </c>
      <c r="P226" s="1" t="str">
        <f aca="false">IF(H226="Yes",IF(J226="MLS","Pro - MLS",IF(J226="MLS NEXT Pro","Pro - MLS NEXT Pro",IF(J226="USL Championship","Pro - USL Championship",IF(J226="USL League One","Pro - USL League One","Pro - Other")))),IF(H226="No",IF(K226="Amateur / Pre-Professional","Amateur / Pre-Professional","Returned to College"),"Unknown"))</f>
        <v>Unknown</v>
      </c>
      <c r="Q226" s="1" t="str">
        <f aca="false">IF(E226="Yes","Yes","No")</f>
        <v>No</v>
      </c>
      <c r="R226" s="1" t="str">
        <f aca="false">IF(H226="Yes","Yes","No")</f>
        <v>No</v>
      </c>
      <c r="S226" s="2" t="s">
        <v>875</v>
      </c>
      <c r="T226" s="2" t="s">
        <v>35</v>
      </c>
      <c r="U226" s="2" t="s">
        <v>36</v>
      </c>
    </row>
    <row r="227" customFormat="false" ht="27.75" hidden="false" customHeight="true" outlineLevel="0" collapsed="false">
      <c r="A227" s="6" t="s">
        <v>876</v>
      </c>
      <c r="B227" s="6" t="s">
        <v>63</v>
      </c>
      <c r="C227" s="6" t="s">
        <v>535</v>
      </c>
      <c r="D227" s="6"/>
      <c r="E227" s="6" t="s">
        <v>25</v>
      </c>
      <c r="F227" s="6"/>
      <c r="G227" s="6"/>
      <c r="H227" s="6"/>
      <c r="I227" s="6"/>
      <c r="J227" s="6"/>
      <c r="K227" s="6" t="s">
        <v>88</v>
      </c>
      <c r="L227" s="6" t="s">
        <v>43</v>
      </c>
      <c r="M227" s="6"/>
      <c r="N227" s="6"/>
      <c r="O227" s="6" t="s">
        <v>71</v>
      </c>
      <c r="P227" s="1" t="str">
        <f aca="false">IF(H227="Yes",IF(J227="MLS","Pro - MLS",IF(J227="MLS NEXT Pro","Pro - MLS NEXT Pro",IF(J227="USL Championship","Pro - USL Championship",IF(J227="USL League One","Pro - USL League One","Pro - Other")))),IF(H227="No",IF(K227="Amateur / Pre-Professional","Amateur / Pre-Professional","Returned to College"),"Unknown"))</f>
        <v>Unknown</v>
      </c>
      <c r="Q227" s="1" t="str">
        <f aca="false">IF(E227="Yes","Yes","No")</f>
        <v>No</v>
      </c>
      <c r="R227" s="1" t="str">
        <f aca="false">IF(H227="Yes","Yes","No")</f>
        <v>No</v>
      </c>
      <c r="S227" s="2" t="s">
        <v>877</v>
      </c>
      <c r="T227" s="2" t="s">
        <v>35</v>
      </c>
      <c r="U227" s="2" t="s">
        <v>36</v>
      </c>
    </row>
    <row r="228" customFormat="false" ht="15" hidden="false" customHeight="true" outlineLevel="0" collapsed="false">
      <c r="A228" s="6" t="s">
        <v>878</v>
      </c>
      <c r="B228" s="6" t="s">
        <v>38</v>
      </c>
      <c r="C228" s="6" t="s">
        <v>879</v>
      </c>
      <c r="D228" s="6"/>
      <c r="E228" s="6" t="s">
        <v>25</v>
      </c>
      <c r="F228" s="6"/>
      <c r="G228" s="6"/>
      <c r="H228" s="6"/>
      <c r="I228" s="6"/>
      <c r="J228" s="6"/>
      <c r="K228" s="6" t="s">
        <v>88</v>
      </c>
      <c r="L228" s="6" t="s">
        <v>43</v>
      </c>
      <c r="M228" s="6"/>
      <c r="N228" s="6"/>
      <c r="O228" s="6" t="s">
        <v>71</v>
      </c>
      <c r="P228" s="1" t="str">
        <f aca="false">IF(H228="Yes",IF(J228="MLS","Pro - MLS",IF(J228="MLS NEXT Pro","Pro - MLS NEXT Pro",IF(J228="USL Championship","Pro - USL Championship",IF(J228="USL League One","Pro - USL League One","Pro - Other")))),IF(H228="No",IF(K228="Amateur / Pre-Professional","Amateur / Pre-Professional","Returned to College"),"Unknown"))</f>
        <v>Unknown</v>
      </c>
      <c r="Q228" s="1" t="str">
        <f aca="false">IF(E228="Yes","Yes","No")</f>
        <v>No</v>
      </c>
      <c r="R228" s="1" t="str">
        <f aca="false">IF(H228="Yes","Yes","No")</f>
        <v>No</v>
      </c>
      <c r="S228" s="2" t="s">
        <v>880</v>
      </c>
      <c r="T228" s="2" t="s">
        <v>35</v>
      </c>
      <c r="U228" s="2" t="s">
        <v>36</v>
      </c>
    </row>
    <row r="229" customFormat="false" ht="15" hidden="false" customHeight="true" outlineLevel="0" collapsed="false">
      <c r="A229" s="6" t="s">
        <v>881</v>
      </c>
      <c r="B229" s="6" t="s">
        <v>22</v>
      </c>
      <c r="C229" s="6" t="s">
        <v>882</v>
      </c>
      <c r="D229" s="6" t="s">
        <v>210</v>
      </c>
      <c r="E229" s="6" t="s">
        <v>25</v>
      </c>
      <c r="F229" s="6"/>
      <c r="G229" s="6"/>
      <c r="H229" s="6"/>
      <c r="I229" s="6"/>
      <c r="J229" s="6"/>
      <c r="K229" s="6" t="s">
        <v>88</v>
      </c>
      <c r="L229" s="6" t="s">
        <v>436</v>
      </c>
      <c r="M229" s="6"/>
      <c r="N229" s="6"/>
      <c r="O229" s="6" t="s">
        <v>71</v>
      </c>
      <c r="P229" s="1" t="str">
        <f aca="false">IF(H229="Yes",IF(J229="MLS","Pro - MLS",IF(J229="MLS NEXT Pro","Pro - MLS NEXT Pro",IF(J229="USL Championship","Pro - USL Championship",IF(J229="USL League One","Pro - USL League One","Pro - Other")))),IF(H229="No",IF(K229="Amateur / Pre-Professional","Amateur / Pre-Professional","Returned to College"),"Unknown"))</f>
        <v>Unknown</v>
      </c>
      <c r="Q229" s="1" t="str">
        <f aca="false">IF(E229="Yes","Yes","No")</f>
        <v>No</v>
      </c>
      <c r="R229" s="1" t="str">
        <f aca="false">IF(H229="Yes","Yes","No")</f>
        <v>No</v>
      </c>
      <c r="T229" s="2" t="s">
        <v>437</v>
      </c>
      <c r="U229" s="2" t="s">
        <v>438</v>
      </c>
    </row>
    <row r="230" customFormat="false" ht="15" hidden="false" customHeight="true" outlineLevel="0" collapsed="false">
      <c r="A230" s="6" t="s">
        <v>883</v>
      </c>
      <c r="B230" s="6" t="s">
        <v>22</v>
      </c>
      <c r="C230" s="6" t="s">
        <v>340</v>
      </c>
      <c r="D230" s="6"/>
      <c r="E230" s="6" t="s">
        <v>25</v>
      </c>
      <c r="F230" s="6"/>
      <c r="G230" s="6"/>
      <c r="H230" s="6" t="s">
        <v>25</v>
      </c>
      <c r="I230" s="6" t="s">
        <v>340</v>
      </c>
      <c r="J230" s="6" t="s">
        <v>51</v>
      </c>
      <c r="K230" s="6" t="s">
        <v>52</v>
      </c>
      <c r="L230" s="6" t="s">
        <v>83</v>
      </c>
      <c r="M230" s="6" t="s">
        <v>341</v>
      </c>
      <c r="N230" s="6" t="s">
        <v>884</v>
      </c>
      <c r="O230" s="6" t="s">
        <v>33</v>
      </c>
      <c r="P230" s="1" t="str">
        <f aca="false">IF(H230="Yes",IF(J230="MLS","Pro - MLS",IF(J230="MLS NEXT Pro","Pro - MLS NEXT Pro",IF(J230="USL Championship","Pro - USL Championship",IF(J230="USL League One","Pro - USL League One","Pro - Other")))),IF(H230="No",IF(K230="Amateur / Pre-Professional","Amateur / Pre-Professional","Returned to College"),"Unknown"))</f>
        <v>Returned to College</v>
      </c>
      <c r="Q230" s="1" t="str">
        <f aca="false">IF(E230="Yes","Yes","No")</f>
        <v>No</v>
      </c>
      <c r="R230" s="1" t="str">
        <f aca="false">IF(H230="Yes","Yes","No")</f>
        <v>No</v>
      </c>
      <c r="S230" s="2" t="s">
        <v>885</v>
      </c>
      <c r="T230" s="2" t="s">
        <v>35</v>
      </c>
      <c r="U230" s="2" t="s">
        <v>36</v>
      </c>
    </row>
    <row r="231" customFormat="false" ht="27.75" hidden="false" customHeight="true" outlineLevel="0" collapsed="false">
      <c r="A231" s="6" t="s">
        <v>886</v>
      </c>
      <c r="B231" s="6" t="s">
        <v>63</v>
      </c>
      <c r="C231" s="6" t="s">
        <v>887</v>
      </c>
      <c r="D231" s="6" t="s">
        <v>888</v>
      </c>
      <c r="E231" s="6" t="s">
        <v>25</v>
      </c>
      <c r="F231" s="6"/>
      <c r="G231" s="6"/>
      <c r="H231" s="6"/>
      <c r="I231" s="6"/>
      <c r="J231" s="6"/>
      <c r="K231" s="6" t="s">
        <v>88</v>
      </c>
      <c r="L231" s="6" t="s">
        <v>43</v>
      </c>
      <c r="M231" s="6"/>
      <c r="N231" s="6"/>
      <c r="O231" s="6" t="s">
        <v>71</v>
      </c>
      <c r="P231" s="1" t="str">
        <f aca="false">IF(H231="Yes",IF(J231="MLS","Pro - MLS",IF(J231="MLS NEXT Pro","Pro - MLS NEXT Pro",IF(J231="USL Championship","Pro - USL Championship",IF(J231="USL League One","Pro - USL League One","Pro - Other")))),IF(H231="No",IF(K231="Amateur / Pre-Professional","Amateur / Pre-Professional","Returned to College"),"Unknown"))</f>
        <v>Unknown</v>
      </c>
      <c r="Q231" s="1" t="str">
        <f aca="false">IF(E231="Yes","Yes","No")</f>
        <v>No</v>
      </c>
      <c r="R231" s="1" t="str">
        <f aca="false">IF(H231="Yes","Yes","No")</f>
        <v>No</v>
      </c>
      <c r="S231" s="2" t="s">
        <v>889</v>
      </c>
      <c r="T231" s="2" t="s">
        <v>35</v>
      </c>
      <c r="U231" s="2" t="s">
        <v>890</v>
      </c>
    </row>
    <row r="232" customFormat="false" ht="15" hidden="false" customHeight="true" outlineLevel="0" collapsed="false">
      <c r="A232" s="6" t="s">
        <v>891</v>
      </c>
      <c r="B232" s="6" t="s">
        <v>63</v>
      </c>
      <c r="C232" s="6" t="s">
        <v>687</v>
      </c>
      <c r="D232" s="6"/>
      <c r="E232" s="6" t="s">
        <v>25</v>
      </c>
      <c r="F232" s="6"/>
      <c r="G232" s="6"/>
      <c r="H232" s="6" t="s">
        <v>25</v>
      </c>
      <c r="I232" s="6" t="s">
        <v>687</v>
      </c>
      <c r="J232" s="6" t="s">
        <v>51</v>
      </c>
      <c r="K232" s="6" t="s">
        <v>52</v>
      </c>
      <c r="L232" s="6" t="s">
        <v>53</v>
      </c>
      <c r="M232" s="6" t="s">
        <v>892</v>
      </c>
      <c r="N232" s="6" t="s">
        <v>893</v>
      </c>
      <c r="O232" s="6" t="s">
        <v>33</v>
      </c>
      <c r="P232" s="1" t="str">
        <f aca="false">IF(H232="Yes",IF(J232="MLS","Pro - MLS",IF(J232="MLS NEXT Pro","Pro - MLS NEXT Pro",IF(J232="USL Championship","Pro - USL Championship",IF(J232="USL League One","Pro - USL League One","Pro - Other")))),IF(H232="No",IF(K232="Amateur / Pre-Professional","Amateur / Pre-Professional","Returned to College"),"Unknown"))</f>
        <v>Returned to College</v>
      </c>
      <c r="Q232" s="1" t="str">
        <f aca="false">IF(E232="Yes","Yes","No")</f>
        <v>No</v>
      </c>
      <c r="R232" s="1" t="str">
        <f aca="false">IF(H232="Yes","Yes","No")</f>
        <v>No</v>
      </c>
      <c r="S232" s="2" t="s">
        <v>688</v>
      </c>
      <c r="T232" s="2" t="s">
        <v>35</v>
      </c>
      <c r="U232" s="2" t="s">
        <v>36</v>
      </c>
    </row>
    <row r="233" customFormat="false" ht="15" hidden="false" customHeight="true" outlineLevel="0" collapsed="false">
      <c r="A233" s="6" t="s">
        <v>894</v>
      </c>
      <c r="B233" s="6" t="s">
        <v>48</v>
      </c>
      <c r="C233" s="6" t="s">
        <v>177</v>
      </c>
      <c r="D233" s="6"/>
      <c r="E233" s="6" t="s">
        <v>25</v>
      </c>
      <c r="F233" s="6"/>
      <c r="G233" s="6"/>
      <c r="H233" s="6"/>
      <c r="I233" s="6"/>
      <c r="J233" s="6"/>
      <c r="K233" s="6" t="s">
        <v>88</v>
      </c>
      <c r="L233" s="6" t="s">
        <v>30</v>
      </c>
      <c r="M233" s="6"/>
      <c r="N233" s="6"/>
      <c r="O233" s="6" t="s">
        <v>71</v>
      </c>
      <c r="P233" s="1" t="str">
        <f aca="false">IF(H233="Yes",IF(J233="MLS","Pro - MLS",IF(J233="MLS NEXT Pro","Pro - MLS NEXT Pro",IF(J233="USL Championship","Pro - USL Championship",IF(J233="USL League One","Pro - USL League One","Pro - Other")))),IF(H233="No",IF(K233="Amateur / Pre-Professional","Amateur / Pre-Professional","Returned to College"),"Unknown"))</f>
        <v>Unknown</v>
      </c>
      <c r="Q233" s="1" t="str">
        <f aca="false">IF(E233="Yes","Yes","No")</f>
        <v>No</v>
      </c>
      <c r="R233" s="1" t="str">
        <f aca="false">IF(H233="Yes","Yes","No")</f>
        <v>No</v>
      </c>
      <c r="S233" s="2" t="s">
        <v>182</v>
      </c>
      <c r="T233" s="2" t="s">
        <v>35</v>
      </c>
      <c r="U233" s="2" t="s">
        <v>36</v>
      </c>
    </row>
    <row r="234" customFormat="false" ht="15" hidden="false" customHeight="true" outlineLevel="0" collapsed="false">
      <c r="A234" s="6" t="s">
        <v>895</v>
      </c>
      <c r="B234" s="6" t="s">
        <v>48</v>
      </c>
      <c r="C234" s="6" t="s">
        <v>321</v>
      </c>
      <c r="D234" s="6" t="s">
        <v>472</v>
      </c>
      <c r="E234" s="6" t="s">
        <v>25</v>
      </c>
      <c r="F234" s="6"/>
      <c r="G234" s="6"/>
      <c r="H234" s="6" t="s">
        <v>25</v>
      </c>
      <c r="I234" s="6" t="s">
        <v>91</v>
      </c>
      <c r="J234" s="6" t="s">
        <v>51</v>
      </c>
      <c r="K234" s="6" t="s">
        <v>52</v>
      </c>
      <c r="L234" s="6" t="s">
        <v>30</v>
      </c>
      <c r="M234" s="6" t="s">
        <v>93</v>
      </c>
      <c r="N234" s="6" t="s">
        <v>896</v>
      </c>
      <c r="O234" s="6" t="s">
        <v>33</v>
      </c>
      <c r="P234" s="1" t="str">
        <f aca="false">IF(H234="Yes",IF(J234="MLS","Pro - MLS",IF(J234="MLS NEXT Pro","Pro - MLS NEXT Pro",IF(J234="USL Championship","Pro - USL Championship",IF(J234="USL League One","Pro - USL League One","Pro - Other")))),IF(H234="No",IF(K234="Amateur / Pre-Professional","Amateur / Pre-Professional","Returned to College"),"Unknown"))</f>
        <v>Returned to College</v>
      </c>
      <c r="Q234" s="1" t="str">
        <f aca="false">IF(E234="Yes","Yes","No")</f>
        <v>No</v>
      </c>
      <c r="R234" s="1" t="str">
        <f aca="false">IF(H234="Yes","Yes","No")</f>
        <v>No</v>
      </c>
      <c r="S234" s="2" t="s">
        <v>897</v>
      </c>
      <c r="T234" s="2" t="s">
        <v>35</v>
      </c>
      <c r="U234" s="2" t="s">
        <v>36</v>
      </c>
    </row>
    <row r="235" customFormat="false" ht="27.75" hidden="false" customHeight="true" outlineLevel="0" collapsed="false">
      <c r="A235" s="6" t="s">
        <v>898</v>
      </c>
      <c r="B235" s="6" t="s">
        <v>48</v>
      </c>
      <c r="C235" s="6" t="s">
        <v>899</v>
      </c>
      <c r="D235" s="6"/>
      <c r="E235" s="6" t="s">
        <v>26</v>
      </c>
      <c r="F235" s="6" t="n">
        <v>7</v>
      </c>
      <c r="G235" s="6" t="s">
        <v>604</v>
      </c>
      <c r="H235" s="6" t="s">
        <v>26</v>
      </c>
      <c r="I235" s="6" t="s">
        <v>219</v>
      </c>
      <c r="J235" s="6" t="s">
        <v>76</v>
      </c>
      <c r="K235" s="6" t="s">
        <v>29</v>
      </c>
      <c r="L235" s="6" t="s">
        <v>30</v>
      </c>
      <c r="M235" s="6" t="s">
        <v>133</v>
      </c>
      <c r="N235" s="6" t="s">
        <v>70</v>
      </c>
      <c r="O235" s="6" t="s">
        <v>71</v>
      </c>
      <c r="P235" s="1" t="str">
        <f aca="false">IF(H235="Yes",IF(J235="MLS","Pro - MLS",IF(J235="MLS NEXT Pro","Pro - MLS NEXT Pro",IF(J235="USL Championship","Pro - USL Championship",IF(J235="USL League One","Pro - USL League One","Pro - Other")))),IF(H235="No",IF(K235="Amateur / Pre-Professional","Amateur / Pre-Professional","Returned to College"),"Unknown"))</f>
        <v>Pro - MLS NEXT Pro</v>
      </c>
      <c r="Q235" s="1" t="str">
        <f aca="false">IF(E235="Yes","Yes","No")</f>
        <v>Yes</v>
      </c>
      <c r="R235" s="1" t="str">
        <f aca="false">IF(H235="Yes","Yes","No")</f>
        <v>Yes</v>
      </c>
      <c r="U235" s="2" t="s">
        <v>56</v>
      </c>
    </row>
    <row r="236" customFormat="false" ht="15" hidden="false" customHeight="true" outlineLevel="0" collapsed="false">
      <c r="A236" s="6" t="s">
        <v>900</v>
      </c>
      <c r="B236" s="6" t="s">
        <v>48</v>
      </c>
      <c r="C236" s="6" t="s">
        <v>148</v>
      </c>
      <c r="D236" s="6"/>
      <c r="E236" s="6" t="s">
        <v>25</v>
      </c>
      <c r="F236" s="6"/>
      <c r="G236" s="6"/>
      <c r="H236" s="6" t="s">
        <v>25</v>
      </c>
      <c r="I236" s="6" t="s">
        <v>282</v>
      </c>
      <c r="J236" s="6" t="s">
        <v>51</v>
      </c>
      <c r="K236" s="6" t="s">
        <v>52</v>
      </c>
      <c r="L236" s="6" t="s">
        <v>83</v>
      </c>
      <c r="M236" s="6" t="s">
        <v>901</v>
      </c>
      <c r="N236" s="6" t="s">
        <v>902</v>
      </c>
      <c r="O236" s="6" t="s">
        <v>33</v>
      </c>
      <c r="P236" s="1" t="str">
        <f aca="false">IF(H236="Yes",IF(J236="MLS","Pro - MLS",IF(J236="MLS NEXT Pro","Pro - MLS NEXT Pro",IF(J236="USL Championship","Pro - USL Championship",IF(J236="USL League One","Pro - USL League One","Pro - Other")))),IF(H236="No",IF(K236="Amateur / Pre-Professional","Amateur / Pre-Professional","Returned to College"),"Unknown"))</f>
        <v>Returned to College</v>
      </c>
      <c r="Q236" s="1" t="str">
        <f aca="false">IF(E236="Yes","Yes","No")</f>
        <v>No</v>
      </c>
      <c r="R236" s="1" t="str">
        <f aca="false">IF(H236="Yes","Yes","No")</f>
        <v>No</v>
      </c>
      <c r="S236" s="2" t="s">
        <v>903</v>
      </c>
      <c r="T236" s="2" t="s">
        <v>35</v>
      </c>
      <c r="U236" s="2" t="s">
        <v>153</v>
      </c>
    </row>
    <row r="237" customFormat="false" ht="27.75" hidden="false" customHeight="true" outlineLevel="0" collapsed="false">
      <c r="A237" s="6" t="s">
        <v>904</v>
      </c>
      <c r="B237" s="6" t="s">
        <v>63</v>
      </c>
      <c r="C237" s="6" t="s">
        <v>91</v>
      </c>
      <c r="D237" s="6"/>
      <c r="E237" s="6" t="s">
        <v>26</v>
      </c>
      <c r="F237" s="6" t="n">
        <v>89</v>
      </c>
      <c r="G237" s="6" t="s">
        <v>82</v>
      </c>
      <c r="H237" s="6" t="s">
        <v>25</v>
      </c>
      <c r="I237" s="6" t="s">
        <v>91</v>
      </c>
      <c r="J237" s="6" t="s">
        <v>51</v>
      </c>
      <c r="K237" s="6" t="s">
        <v>425</v>
      </c>
      <c r="L237" s="6" t="s">
        <v>53</v>
      </c>
      <c r="M237" s="6" t="s">
        <v>133</v>
      </c>
      <c r="N237" s="6" t="s">
        <v>70</v>
      </c>
      <c r="O237" s="6" t="s">
        <v>71</v>
      </c>
      <c r="P237" s="1" t="str">
        <f aca="false">IF(H237="Yes",IF(J237="MLS","Pro - MLS",IF(J237="MLS NEXT Pro","Pro - MLS NEXT Pro",IF(J237="USL Championship","Pro - USL Championship",IF(J237="USL League One","Pro - USL League One","Pro - Other")))),IF(H237="No",IF(K237="Amateur / Pre-Professional","Amateur / Pre-Professional","Returned to College"),"Unknown"))</f>
        <v>Returned to College</v>
      </c>
      <c r="Q237" s="1" t="str">
        <f aca="false">IF(E237="Yes","Yes","No")</f>
        <v>Yes</v>
      </c>
      <c r="R237" s="1" t="str">
        <f aca="false">IF(H237="Yes","Yes","No")</f>
        <v>No</v>
      </c>
      <c r="U237" s="2" t="s">
        <v>56</v>
      </c>
    </row>
    <row r="238" customFormat="false" ht="15" hidden="false" customHeight="true" outlineLevel="0" collapsed="false">
      <c r="A238" s="6" t="s">
        <v>905</v>
      </c>
      <c r="B238" s="6" t="s">
        <v>22</v>
      </c>
      <c r="C238" s="6" t="s">
        <v>485</v>
      </c>
      <c r="D238" s="6" t="s">
        <v>66</v>
      </c>
      <c r="E238" s="6" t="s">
        <v>25</v>
      </c>
      <c r="F238" s="6"/>
      <c r="G238" s="6"/>
      <c r="H238" s="6" t="s">
        <v>25</v>
      </c>
      <c r="I238" s="6" t="s">
        <v>485</v>
      </c>
      <c r="J238" s="6" t="s">
        <v>51</v>
      </c>
      <c r="K238" s="6" t="s">
        <v>52</v>
      </c>
      <c r="L238" s="6" t="s">
        <v>83</v>
      </c>
      <c r="M238" s="6" t="s">
        <v>906</v>
      </c>
      <c r="N238" s="6" t="s">
        <v>907</v>
      </c>
      <c r="O238" s="6" t="s">
        <v>33</v>
      </c>
      <c r="P238" s="1" t="str">
        <f aca="false">IF(H238="Yes",IF(J238="MLS","Pro - MLS",IF(J238="MLS NEXT Pro","Pro - MLS NEXT Pro",IF(J238="USL Championship","Pro - USL Championship",IF(J238="USL League One","Pro - USL League One","Pro - Other")))),IF(H238="No",IF(K238="Amateur / Pre-Professional","Amateur / Pre-Professional","Returned to College"),"Unknown"))</f>
        <v>Returned to College</v>
      </c>
      <c r="Q238" s="1" t="str">
        <f aca="false">IF(E238="Yes","Yes","No")</f>
        <v>No</v>
      </c>
      <c r="R238" s="1" t="str">
        <f aca="false">IF(H238="Yes","Yes","No")</f>
        <v>No</v>
      </c>
      <c r="S238" s="2" t="s">
        <v>486</v>
      </c>
      <c r="T238" s="2" t="s">
        <v>35</v>
      </c>
      <c r="U238" s="2" t="s">
        <v>36</v>
      </c>
    </row>
    <row r="239" customFormat="false" ht="27.75" hidden="false" customHeight="true" outlineLevel="0" collapsed="false">
      <c r="A239" s="6" t="s">
        <v>908</v>
      </c>
      <c r="B239" s="6" t="s">
        <v>63</v>
      </c>
      <c r="C239" s="6" t="s">
        <v>535</v>
      </c>
      <c r="D239" s="6"/>
      <c r="E239" s="6" t="s">
        <v>25</v>
      </c>
      <c r="F239" s="6"/>
      <c r="G239" s="6"/>
      <c r="H239" s="6" t="s">
        <v>25</v>
      </c>
      <c r="I239" s="6" t="s">
        <v>535</v>
      </c>
      <c r="J239" s="6" t="s">
        <v>51</v>
      </c>
      <c r="K239" s="6" t="s">
        <v>52</v>
      </c>
      <c r="L239" s="6" t="s">
        <v>30</v>
      </c>
      <c r="M239" s="6" t="s">
        <v>909</v>
      </c>
      <c r="N239" s="6" t="s">
        <v>910</v>
      </c>
      <c r="O239" s="6" t="s">
        <v>33</v>
      </c>
      <c r="P239" s="1" t="str">
        <f aca="false">IF(H239="Yes",IF(J239="MLS","Pro - MLS",IF(J239="MLS NEXT Pro","Pro - MLS NEXT Pro",IF(J239="USL Championship","Pro - USL Championship",IF(J239="USL League One","Pro - USL League One","Pro - Other")))),IF(H239="No",IF(K239="Amateur / Pre-Professional","Amateur / Pre-Professional","Returned to College"),"Unknown"))</f>
        <v>Returned to College</v>
      </c>
      <c r="Q239" s="1" t="str">
        <f aca="false">IF(E239="Yes","Yes","No")</f>
        <v>No</v>
      </c>
      <c r="R239" s="1" t="str">
        <f aca="false">IF(H239="Yes","Yes","No")</f>
        <v>No</v>
      </c>
      <c r="S239" s="2" t="s">
        <v>911</v>
      </c>
      <c r="T239" s="2" t="s">
        <v>35</v>
      </c>
      <c r="U239" s="2" t="s">
        <v>36</v>
      </c>
    </row>
    <row r="240" customFormat="false" ht="15" hidden="false" customHeight="true" outlineLevel="0" collapsed="false">
      <c r="A240" s="6" t="s">
        <v>912</v>
      </c>
      <c r="B240" s="6" t="s">
        <v>22</v>
      </c>
      <c r="C240" s="6" t="s">
        <v>357</v>
      </c>
      <c r="D240" s="6"/>
      <c r="E240" s="6" t="s">
        <v>25</v>
      </c>
      <c r="F240" s="6"/>
      <c r="G240" s="6"/>
      <c r="H240" s="6" t="s">
        <v>25</v>
      </c>
      <c r="I240" s="6" t="s">
        <v>357</v>
      </c>
      <c r="J240" s="6" t="s">
        <v>51</v>
      </c>
      <c r="K240" s="6" t="s">
        <v>52</v>
      </c>
      <c r="L240" s="6" t="s">
        <v>83</v>
      </c>
      <c r="M240" s="6" t="s">
        <v>722</v>
      </c>
      <c r="N240" s="6" t="s">
        <v>863</v>
      </c>
      <c r="O240" s="6" t="s">
        <v>33</v>
      </c>
      <c r="P240" s="1" t="str">
        <f aca="false">IF(H240="Yes",IF(J240="MLS","Pro - MLS",IF(J240="MLS NEXT Pro","Pro - MLS NEXT Pro",IF(J240="USL Championship","Pro - USL Championship",IF(J240="USL League One","Pro - USL League One","Pro - Other")))),IF(H240="No",IF(K240="Amateur / Pre-Professional","Amateur / Pre-Professional","Returned to College"),"Unknown"))</f>
        <v>Returned to College</v>
      </c>
      <c r="Q240" s="1" t="str">
        <f aca="false">IF(E240="Yes","Yes","No")</f>
        <v>No</v>
      </c>
      <c r="R240" s="1" t="str">
        <f aca="false">IF(H240="Yes","Yes","No")</f>
        <v>No</v>
      </c>
      <c r="U240" s="2" t="s">
        <v>56</v>
      </c>
    </row>
    <row r="241" customFormat="false" ht="15" hidden="false" customHeight="true" outlineLevel="0" collapsed="false">
      <c r="A241" s="6" t="s">
        <v>913</v>
      </c>
      <c r="B241" s="6" t="s">
        <v>63</v>
      </c>
      <c r="C241" s="6" t="s">
        <v>440</v>
      </c>
      <c r="D241" s="6"/>
      <c r="E241" s="6" t="s">
        <v>25</v>
      </c>
      <c r="F241" s="6"/>
      <c r="G241" s="6"/>
      <c r="H241" s="6" t="s">
        <v>25</v>
      </c>
      <c r="I241" s="6" t="s">
        <v>440</v>
      </c>
      <c r="J241" s="6" t="s">
        <v>51</v>
      </c>
      <c r="K241" s="6" t="s">
        <v>52</v>
      </c>
      <c r="L241" s="6" t="s">
        <v>53</v>
      </c>
      <c r="M241" s="6" t="s">
        <v>914</v>
      </c>
      <c r="N241" s="6" t="s">
        <v>915</v>
      </c>
      <c r="O241" s="6" t="s">
        <v>33</v>
      </c>
      <c r="P241" s="1" t="str">
        <f aca="false">IF(H241="Yes",IF(J241="MLS","Pro - MLS",IF(J241="MLS NEXT Pro","Pro - MLS NEXT Pro",IF(J241="USL Championship","Pro - USL Championship",IF(J241="USL League One","Pro - USL League One","Pro - Other")))),IF(H241="No",IF(K241="Amateur / Pre-Professional","Amateur / Pre-Professional","Returned to College"),"Unknown"))</f>
        <v>Returned to College</v>
      </c>
      <c r="Q241" s="1" t="str">
        <f aca="false">IF(E241="Yes","Yes","No")</f>
        <v>No</v>
      </c>
      <c r="R241" s="1" t="str">
        <f aca="false">IF(H241="Yes","Yes","No")</f>
        <v>No</v>
      </c>
      <c r="S241" s="2" t="s">
        <v>916</v>
      </c>
      <c r="T241" s="2" t="s">
        <v>35</v>
      </c>
      <c r="U241" s="2" t="s">
        <v>917</v>
      </c>
    </row>
    <row r="242" customFormat="false" ht="15" hidden="false" customHeight="true" outlineLevel="0" collapsed="false">
      <c r="A242" s="6" t="s">
        <v>918</v>
      </c>
      <c r="B242" s="6" t="s">
        <v>22</v>
      </c>
      <c r="C242" s="6" t="s">
        <v>309</v>
      </c>
      <c r="D242" s="6"/>
      <c r="E242" s="6" t="s">
        <v>25</v>
      </c>
      <c r="F242" s="6"/>
      <c r="G242" s="6"/>
      <c r="H242" s="6"/>
      <c r="I242" s="6"/>
      <c r="J242" s="6"/>
      <c r="K242" s="6" t="s">
        <v>88</v>
      </c>
      <c r="L242" s="6" t="s">
        <v>43</v>
      </c>
      <c r="M242" s="6"/>
      <c r="N242" s="6"/>
      <c r="O242" s="6" t="s">
        <v>71</v>
      </c>
      <c r="P242" s="1" t="str">
        <f aca="false">IF(H242="Yes",IF(J242="MLS","Pro - MLS",IF(J242="MLS NEXT Pro","Pro - MLS NEXT Pro",IF(J242="USL Championship","Pro - USL Championship",IF(J242="USL League One","Pro - USL League One","Pro - Other")))),IF(H242="No",IF(K242="Amateur / Pre-Professional","Amateur / Pre-Professional","Returned to College"),"Unknown"))</f>
        <v>Unknown</v>
      </c>
      <c r="Q242" s="1" t="str">
        <f aca="false">IF(E242="Yes","Yes","No")</f>
        <v>No</v>
      </c>
      <c r="R242" s="1" t="str">
        <f aca="false">IF(H242="Yes","Yes","No")</f>
        <v>No</v>
      </c>
      <c r="S242" s="2" t="s">
        <v>310</v>
      </c>
      <c r="T242" s="2" t="s">
        <v>35</v>
      </c>
      <c r="U242" s="2" t="s">
        <v>36</v>
      </c>
    </row>
    <row r="243" customFormat="false" ht="27.75" hidden="false" customHeight="true" outlineLevel="0" collapsed="false">
      <c r="A243" s="6" t="s">
        <v>919</v>
      </c>
      <c r="B243" s="6" t="s">
        <v>63</v>
      </c>
      <c r="C243" s="6" t="s">
        <v>920</v>
      </c>
      <c r="D243" s="6"/>
      <c r="E243" s="6" t="s">
        <v>26</v>
      </c>
      <c r="F243" s="6" t="n">
        <v>63</v>
      </c>
      <c r="G243" s="6" t="s">
        <v>643</v>
      </c>
      <c r="H243" s="6" t="s">
        <v>25</v>
      </c>
      <c r="I243" s="6" t="s">
        <v>920</v>
      </c>
      <c r="J243" s="6" t="s">
        <v>51</v>
      </c>
      <c r="K243" s="6" t="s">
        <v>52</v>
      </c>
      <c r="L243" s="6" t="s">
        <v>83</v>
      </c>
      <c r="M243" s="6" t="s">
        <v>921</v>
      </c>
      <c r="N243" s="6" t="s">
        <v>922</v>
      </c>
      <c r="O243" s="6" t="s">
        <v>33</v>
      </c>
      <c r="P243" s="1" t="str">
        <f aca="false">IF(H243="Yes",IF(J243="MLS","Pro - MLS",IF(J243="MLS NEXT Pro","Pro - MLS NEXT Pro",IF(J243="USL Championship","Pro - USL Championship",IF(J243="USL League One","Pro - USL League One","Pro - Other")))),IF(H243="No",IF(K243="Amateur / Pre-Professional","Amateur / Pre-Professional","Returned to College"),"Unknown"))</f>
        <v>Returned to College</v>
      </c>
      <c r="Q243" s="1" t="str">
        <f aca="false">IF(E243="Yes","Yes","No")</f>
        <v>Yes</v>
      </c>
      <c r="R243" s="1" t="str">
        <f aca="false">IF(H243="Yes","Yes","No")</f>
        <v>No</v>
      </c>
      <c r="U243" s="2" t="s">
        <v>56</v>
      </c>
    </row>
    <row r="244" customFormat="false" ht="27.75" hidden="false" customHeight="true" outlineLevel="0" collapsed="false">
      <c r="A244" s="6" t="s">
        <v>923</v>
      </c>
      <c r="B244" s="6" t="s">
        <v>22</v>
      </c>
      <c r="C244" s="6" t="s">
        <v>721</v>
      </c>
      <c r="D244" s="6"/>
      <c r="E244" s="6" t="s">
        <v>26</v>
      </c>
      <c r="F244" s="6" t="n">
        <v>2</v>
      </c>
      <c r="G244" s="6" t="s">
        <v>271</v>
      </c>
      <c r="H244" s="6" t="s">
        <v>26</v>
      </c>
      <c r="I244" s="6" t="s">
        <v>271</v>
      </c>
      <c r="J244" s="6" t="s">
        <v>67</v>
      </c>
      <c r="K244" s="6" t="s">
        <v>29</v>
      </c>
      <c r="L244" s="6" t="s">
        <v>53</v>
      </c>
      <c r="M244" s="6" t="s">
        <v>69</v>
      </c>
      <c r="N244" s="6" t="s">
        <v>70</v>
      </c>
      <c r="O244" s="6" t="s">
        <v>71</v>
      </c>
      <c r="P244" s="1" t="str">
        <f aca="false">IF(H244="Yes",IF(J244="MLS","Pro - MLS",IF(J244="MLS NEXT Pro","Pro - MLS NEXT Pro",IF(J244="USL Championship","Pro - USL Championship",IF(J244="USL League One","Pro - USL League One","Pro - Other")))),IF(H244="No",IF(K244="Amateur / Pre-Professional","Amateur / Pre-Professional","Returned to College"),"Unknown"))</f>
        <v>Pro - MLS</v>
      </c>
      <c r="Q244" s="1" t="str">
        <f aca="false">IF(E244="Yes","Yes","No")</f>
        <v>Yes</v>
      </c>
      <c r="R244" s="1" t="str">
        <f aca="false">IF(H244="Yes","Yes","No")</f>
        <v>Yes</v>
      </c>
      <c r="U244" s="2" t="s">
        <v>56</v>
      </c>
    </row>
    <row r="245" customFormat="false" ht="15" hidden="false" customHeight="true" outlineLevel="0" collapsed="false">
      <c r="A245" s="6" t="s">
        <v>924</v>
      </c>
      <c r="B245" s="6" t="s">
        <v>63</v>
      </c>
      <c r="C245" s="6" t="s">
        <v>405</v>
      </c>
      <c r="D245" s="6" t="s">
        <v>925</v>
      </c>
      <c r="E245" s="6" t="s">
        <v>25</v>
      </c>
      <c r="F245" s="6"/>
      <c r="G245" s="6"/>
      <c r="H245" s="6" t="s">
        <v>25</v>
      </c>
      <c r="I245" s="6" t="s">
        <v>405</v>
      </c>
      <c r="J245" s="6" t="s">
        <v>51</v>
      </c>
      <c r="K245" s="6" t="s">
        <v>52</v>
      </c>
      <c r="L245" s="6" t="s">
        <v>30</v>
      </c>
      <c r="M245" s="6" t="s">
        <v>926</v>
      </c>
      <c r="N245" s="6" t="s">
        <v>927</v>
      </c>
      <c r="O245" s="6" t="s">
        <v>33</v>
      </c>
      <c r="P245" s="1" t="str">
        <f aca="false">IF(H245="Yes",IF(J245="MLS","Pro - MLS",IF(J245="MLS NEXT Pro","Pro - MLS NEXT Pro",IF(J245="USL Championship","Pro - USL Championship",IF(J245="USL League One","Pro - USL League One","Pro - Other")))),IF(H245="No",IF(K245="Amateur / Pre-Professional","Amateur / Pre-Professional","Returned to College"),"Unknown"))</f>
        <v>Returned to College</v>
      </c>
      <c r="Q245" s="1" t="str">
        <f aca="false">IF(E245="Yes","Yes","No")</f>
        <v>No</v>
      </c>
      <c r="R245" s="1" t="str">
        <f aca="false">IF(H245="Yes","Yes","No")</f>
        <v>No</v>
      </c>
      <c r="S245" s="2" t="s">
        <v>408</v>
      </c>
      <c r="T245" s="2" t="s">
        <v>35</v>
      </c>
      <c r="U245" s="2" t="s">
        <v>36</v>
      </c>
    </row>
    <row r="246" customFormat="false" ht="15" hidden="false" customHeight="true" outlineLevel="0" collapsed="false">
      <c r="A246" s="6" t="s">
        <v>928</v>
      </c>
      <c r="B246" s="6" t="s">
        <v>38</v>
      </c>
      <c r="C246" s="6" t="s">
        <v>929</v>
      </c>
      <c r="D246" s="6"/>
      <c r="E246" s="6" t="s">
        <v>25</v>
      </c>
      <c r="F246" s="6"/>
      <c r="G246" s="6"/>
      <c r="H246" s="6"/>
      <c r="I246" s="6"/>
      <c r="J246" s="6"/>
      <c r="K246" s="6" t="s">
        <v>88</v>
      </c>
      <c r="L246" s="6" t="s">
        <v>43</v>
      </c>
      <c r="M246" s="6"/>
      <c r="N246" s="6"/>
      <c r="O246" s="6" t="s">
        <v>71</v>
      </c>
      <c r="P246" s="1" t="str">
        <f aca="false">IF(H246="Yes",IF(J246="MLS","Pro - MLS",IF(J246="MLS NEXT Pro","Pro - MLS NEXT Pro",IF(J246="USL Championship","Pro - USL Championship",IF(J246="USL League One","Pro - USL League One","Pro - Other")))),IF(H246="No",IF(K246="Amateur / Pre-Professional","Amateur / Pre-Professional","Returned to College"),"Unknown"))</f>
        <v>Unknown</v>
      </c>
      <c r="Q246" s="1" t="str">
        <f aca="false">IF(E246="Yes","Yes","No")</f>
        <v>No</v>
      </c>
      <c r="R246" s="1" t="str">
        <f aca="false">IF(H246="Yes","Yes","No")</f>
        <v>No</v>
      </c>
      <c r="S246" s="2" t="s">
        <v>930</v>
      </c>
      <c r="T246" s="2" t="s">
        <v>35</v>
      </c>
      <c r="U246" s="2" t="s">
        <v>931</v>
      </c>
    </row>
    <row r="247" customFormat="false" ht="27.75" hidden="false" customHeight="true" outlineLevel="0" collapsed="false">
      <c r="A247" s="6" t="s">
        <v>932</v>
      </c>
      <c r="B247" s="6" t="s">
        <v>63</v>
      </c>
      <c r="C247" s="6" t="s">
        <v>933</v>
      </c>
      <c r="D247" s="6"/>
      <c r="E247" s="6" t="s">
        <v>26</v>
      </c>
      <c r="F247" s="6" t="n">
        <v>28</v>
      </c>
      <c r="G247" s="6" t="s">
        <v>59</v>
      </c>
      <c r="H247" s="6" t="s">
        <v>25</v>
      </c>
      <c r="I247" s="6" t="s">
        <v>933</v>
      </c>
      <c r="J247" s="6" t="s">
        <v>51</v>
      </c>
      <c r="K247" s="6" t="s">
        <v>52</v>
      </c>
      <c r="L247" s="6" t="s">
        <v>83</v>
      </c>
      <c r="M247" s="6" t="s">
        <v>934</v>
      </c>
      <c r="N247" s="6" t="s">
        <v>935</v>
      </c>
      <c r="O247" s="6" t="s">
        <v>33</v>
      </c>
      <c r="P247" s="1" t="str">
        <f aca="false">IF(H247="Yes",IF(J247="MLS","Pro - MLS",IF(J247="MLS NEXT Pro","Pro - MLS NEXT Pro",IF(J247="USL Championship","Pro - USL Championship",IF(J247="USL League One","Pro - USL League One","Pro - Other")))),IF(H247="No",IF(K247="Amateur / Pre-Professional","Amateur / Pre-Professional","Returned to College"),"Unknown"))</f>
        <v>Returned to College</v>
      </c>
      <c r="Q247" s="1" t="str">
        <f aca="false">IF(E247="Yes","Yes","No")</f>
        <v>Yes</v>
      </c>
      <c r="R247" s="1" t="str">
        <f aca="false">IF(H247="Yes","Yes","No")</f>
        <v>No</v>
      </c>
      <c r="U247" s="2" t="s">
        <v>56</v>
      </c>
    </row>
    <row r="248" customFormat="false" ht="15" hidden="false" customHeight="true" outlineLevel="0" collapsed="false">
      <c r="A248" s="6" t="s">
        <v>936</v>
      </c>
      <c r="B248" s="6" t="s">
        <v>48</v>
      </c>
      <c r="C248" s="6" t="s">
        <v>566</v>
      </c>
      <c r="D248" s="6"/>
      <c r="E248" s="6" t="s">
        <v>25</v>
      </c>
      <c r="F248" s="6"/>
      <c r="G248" s="6"/>
      <c r="H248" s="6"/>
      <c r="I248" s="6"/>
      <c r="J248" s="6"/>
      <c r="K248" s="6" t="s">
        <v>88</v>
      </c>
      <c r="L248" s="6" t="s">
        <v>30</v>
      </c>
      <c r="M248" s="6"/>
      <c r="N248" s="6"/>
      <c r="O248" s="6" t="s">
        <v>71</v>
      </c>
      <c r="P248" s="1" t="str">
        <f aca="false">IF(H248="Yes",IF(J248="MLS","Pro - MLS",IF(J248="MLS NEXT Pro","Pro - MLS NEXT Pro",IF(J248="USL Championship","Pro - USL Championship",IF(J248="USL League One","Pro - USL League One","Pro - Other")))),IF(H248="No",IF(K248="Amateur / Pre-Professional","Amateur / Pre-Professional","Returned to College"),"Unknown"))</f>
        <v>Unknown</v>
      </c>
      <c r="Q248" s="1" t="str">
        <f aca="false">IF(E248="Yes","Yes","No")</f>
        <v>No</v>
      </c>
      <c r="R248" s="1" t="str">
        <f aca="false">IF(H248="Yes","Yes","No")</f>
        <v>No</v>
      </c>
      <c r="S248" s="2" t="s">
        <v>570</v>
      </c>
      <c r="T248" s="2" t="s">
        <v>35</v>
      </c>
      <c r="U248" s="2" t="s">
        <v>36</v>
      </c>
    </row>
    <row r="249" customFormat="false" ht="15" hidden="false" customHeight="true" outlineLevel="0" collapsed="false">
      <c r="A249" s="6" t="s">
        <v>937</v>
      </c>
      <c r="B249" s="6" t="s">
        <v>48</v>
      </c>
      <c r="C249" s="6" t="s">
        <v>938</v>
      </c>
      <c r="D249" s="6" t="s">
        <v>66</v>
      </c>
      <c r="E249" s="6" t="s">
        <v>25</v>
      </c>
      <c r="F249" s="6"/>
      <c r="G249" s="6"/>
      <c r="H249" s="6" t="s">
        <v>25</v>
      </c>
      <c r="I249" s="6" t="s">
        <v>938</v>
      </c>
      <c r="J249" s="6" t="s">
        <v>51</v>
      </c>
      <c r="K249" s="6" t="s">
        <v>52</v>
      </c>
      <c r="L249" s="6" t="s">
        <v>83</v>
      </c>
      <c r="M249" s="6" t="s">
        <v>939</v>
      </c>
      <c r="N249" s="6" t="s">
        <v>940</v>
      </c>
      <c r="O249" s="6" t="s">
        <v>33</v>
      </c>
      <c r="P249" s="1" t="str">
        <f aca="false">IF(H249="Yes",IF(J249="MLS","Pro - MLS",IF(J249="MLS NEXT Pro","Pro - MLS NEXT Pro",IF(J249="USL Championship","Pro - USL Championship",IF(J249="USL League One","Pro - USL League One","Pro - Other")))),IF(H249="No",IF(K249="Amateur / Pre-Professional","Amateur / Pre-Professional","Returned to College"),"Unknown"))</f>
        <v>Returned to College</v>
      </c>
      <c r="Q249" s="1" t="str">
        <f aca="false">IF(E249="Yes","Yes","No")</f>
        <v>No</v>
      </c>
      <c r="R249" s="1" t="str">
        <f aca="false">IF(H249="Yes","Yes","No")</f>
        <v>No</v>
      </c>
      <c r="S249" s="2" t="s">
        <v>941</v>
      </c>
      <c r="T249" s="2" t="s">
        <v>35</v>
      </c>
      <c r="U249" s="2" t="s">
        <v>36</v>
      </c>
    </row>
    <row r="250" customFormat="false" ht="27.75" hidden="false" customHeight="true" outlineLevel="0" collapsed="false">
      <c r="A250" s="6" t="s">
        <v>942</v>
      </c>
      <c r="B250" s="6" t="s">
        <v>22</v>
      </c>
      <c r="C250" s="6" t="s">
        <v>136</v>
      </c>
      <c r="D250" s="6" t="s">
        <v>943</v>
      </c>
      <c r="E250" s="6" t="s">
        <v>26</v>
      </c>
      <c r="F250" s="6" t="n">
        <v>29</v>
      </c>
      <c r="G250" s="6" t="s">
        <v>82</v>
      </c>
      <c r="H250" s="6" t="s">
        <v>25</v>
      </c>
      <c r="I250" s="6" t="s">
        <v>136</v>
      </c>
      <c r="J250" s="6" t="s">
        <v>51</v>
      </c>
      <c r="K250" s="6" t="s">
        <v>52</v>
      </c>
      <c r="L250" s="6" t="s">
        <v>53</v>
      </c>
      <c r="M250" s="6" t="s">
        <v>944</v>
      </c>
      <c r="N250" s="6" t="s">
        <v>945</v>
      </c>
      <c r="O250" s="6" t="s">
        <v>33</v>
      </c>
      <c r="P250" s="1" t="str">
        <f aca="false">IF(H250="Yes",IF(J250="MLS","Pro - MLS",IF(J250="MLS NEXT Pro","Pro - MLS NEXT Pro",IF(J250="USL Championship","Pro - USL Championship",IF(J250="USL League One","Pro - USL League One","Pro - Other")))),IF(H250="No",IF(K250="Amateur / Pre-Professional","Amateur / Pre-Professional","Returned to College"),"Unknown"))</f>
        <v>Returned to College</v>
      </c>
      <c r="Q250" s="1" t="str">
        <f aca="false">IF(E250="Yes","Yes","No")</f>
        <v>Yes</v>
      </c>
      <c r="R250" s="1" t="str">
        <f aca="false">IF(H250="Yes","Yes","No")</f>
        <v>No</v>
      </c>
      <c r="U250" s="2" t="s">
        <v>56</v>
      </c>
    </row>
    <row r="251" customFormat="false" ht="15" hidden="false" customHeight="true" outlineLevel="0" collapsed="false">
      <c r="A251" s="6" t="s">
        <v>946</v>
      </c>
      <c r="B251" s="6" t="s">
        <v>38</v>
      </c>
      <c r="C251" s="6" t="s">
        <v>447</v>
      </c>
      <c r="D251" s="6"/>
      <c r="E251" s="6" t="s">
        <v>25</v>
      </c>
      <c r="F251" s="6"/>
      <c r="G251" s="6"/>
      <c r="H251" s="6" t="s">
        <v>25</v>
      </c>
      <c r="I251" s="6" t="s">
        <v>447</v>
      </c>
      <c r="J251" s="6" t="s">
        <v>51</v>
      </c>
      <c r="K251" s="6" t="s">
        <v>52</v>
      </c>
      <c r="L251" s="6" t="s">
        <v>53</v>
      </c>
      <c r="M251" s="6" t="s">
        <v>947</v>
      </c>
      <c r="N251" s="6" t="s">
        <v>948</v>
      </c>
      <c r="O251" s="6" t="s">
        <v>33</v>
      </c>
      <c r="P251" s="1" t="str">
        <f aca="false">IF(H251="Yes",IF(J251="MLS","Pro - MLS",IF(J251="MLS NEXT Pro","Pro - MLS NEXT Pro",IF(J251="USL Championship","Pro - USL Championship",IF(J251="USL League One","Pro - USL League One","Pro - Other")))),IF(H251="No",IF(K251="Amateur / Pre-Professional","Amateur / Pre-Professional","Returned to College"),"Unknown"))</f>
        <v>Returned to College</v>
      </c>
      <c r="Q251" s="1" t="str">
        <f aca="false">IF(E251="Yes","Yes","No")</f>
        <v>No</v>
      </c>
      <c r="R251" s="1" t="str">
        <f aca="false">IF(H251="Yes","Yes","No")</f>
        <v>No</v>
      </c>
      <c r="S251" s="2" t="s">
        <v>451</v>
      </c>
      <c r="T251" s="2" t="s">
        <v>35</v>
      </c>
      <c r="U251" s="2" t="s">
        <v>36</v>
      </c>
    </row>
    <row r="252" customFormat="false" ht="27.75" hidden="false" customHeight="true" outlineLevel="0" collapsed="false">
      <c r="A252" s="6" t="s">
        <v>949</v>
      </c>
      <c r="B252" s="6" t="s">
        <v>48</v>
      </c>
      <c r="C252" s="6" t="s">
        <v>64</v>
      </c>
      <c r="D252" s="6"/>
      <c r="E252" s="6" t="s">
        <v>26</v>
      </c>
      <c r="F252" s="6" t="n">
        <v>13</v>
      </c>
      <c r="G252" s="6" t="s">
        <v>137</v>
      </c>
      <c r="H252" s="6" t="s">
        <v>25</v>
      </c>
      <c r="I252" s="6" t="s">
        <v>64</v>
      </c>
      <c r="J252" s="6" t="s">
        <v>51</v>
      </c>
      <c r="K252" s="6" t="s">
        <v>52</v>
      </c>
      <c r="L252" s="6" t="s">
        <v>53</v>
      </c>
      <c r="M252" s="6" t="s">
        <v>595</v>
      </c>
      <c r="N252" s="6" t="s">
        <v>950</v>
      </c>
      <c r="O252" s="6" t="s">
        <v>33</v>
      </c>
      <c r="P252" s="1" t="str">
        <f aca="false">IF(H252="Yes",IF(J252="MLS","Pro - MLS",IF(J252="MLS NEXT Pro","Pro - MLS NEXT Pro",IF(J252="USL Championship","Pro - USL Championship",IF(J252="USL League One","Pro - USL League One","Pro - Other")))),IF(H252="No",IF(K252="Amateur / Pre-Professional","Amateur / Pre-Professional","Returned to College"),"Unknown"))</f>
        <v>Returned to College</v>
      </c>
      <c r="Q252" s="1" t="str">
        <f aca="false">IF(E252="Yes","Yes","No")</f>
        <v>Yes</v>
      </c>
      <c r="R252" s="1" t="str">
        <f aca="false">IF(H252="Yes","Yes","No")</f>
        <v>No</v>
      </c>
      <c r="U252" s="2" t="s">
        <v>56</v>
      </c>
    </row>
    <row r="253" customFormat="false" ht="27.75" hidden="false" customHeight="true" outlineLevel="0" collapsed="false">
      <c r="A253" s="6" t="s">
        <v>951</v>
      </c>
      <c r="B253" s="6" t="s">
        <v>48</v>
      </c>
      <c r="C253" s="6" t="s">
        <v>405</v>
      </c>
      <c r="D253" s="6"/>
      <c r="E253" s="6" t="s">
        <v>26</v>
      </c>
      <c r="F253" s="6" t="n">
        <v>1</v>
      </c>
      <c r="G253" s="6" t="s">
        <v>121</v>
      </c>
      <c r="H253" s="6" t="s">
        <v>26</v>
      </c>
      <c r="I253" s="6" t="s">
        <v>121</v>
      </c>
      <c r="J253" s="6" t="s">
        <v>67</v>
      </c>
      <c r="K253" s="6" t="s">
        <v>29</v>
      </c>
      <c r="L253" s="6" t="s">
        <v>53</v>
      </c>
      <c r="M253" s="6" t="s">
        <v>69</v>
      </c>
      <c r="N253" s="6" t="s">
        <v>70</v>
      </c>
      <c r="O253" s="6" t="s">
        <v>71</v>
      </c>
      <c r="P253" s="1" t="str">
        <f aca="false">IF(H253="Yes",IF(J253="MLS","Pro - MLS",IF(J253="MLS NEXT Pro","Pro - MLS NEXT Pro",IF(J253="USL Championship","Pro - USL Championship",IF(J253="USL League One","Pro - USL League One","Pro - Other")))),IF(H253="No",IF(K253="Amateur / Pre-Professional","Amateur / Pre-Professional","Returned to College"),"Unknown"))</f>
        <v>Pro - MLS</v>
      </c>
      <c r="Q253" s="1" t="str">
        <f aca="false">IF(E253="Yes","Yes","No")</f>
        <v>Yes</v>
      </c>
      <c r="R253" s="1" t="str">
        <f aca="false">IF(H253="Yes","Yes","No")</f>
        <v>Yes</v>
      </c>
      <c r="U253" s="2" t="s">
        <v>56</v>
      </c>
    </row>
    <row r="254" customFormat="false" ht="15" hidden="false" customHeight="true" outlineLevel="0" collapsed="false">
      <c r="A254" s="6" t="s">
        <v>952</v>
      </c>
      <c r="B254" s="6" t="s">
        <v>63</v>
      </c>
      <c r="C254" s="6" t="s">
        <v>953</v>
      </c>
      <c r="D254" s="6" t="s">
        <v>306</v>
      </c>
      <c r="E254" s="6" t="s">
        <v>25</v>
      </c>
      <c r="F254" s="6"/>
      <c r="G254" s="6"/>
      <c r="H254" s="6"/>
      <c r="I254" s="6"/>
      <c r="J254" s="6"/>
      <c r="K254" s="6" t="s">
        <v>88</v>
      </c>
      <c r="L254" s="6" t="s">
        <v>30</v>
      </c>
      <c r="M254" s="6"/>
      <c r="N254" s="6"/>
      <c r="O254" s="6" t="s">
        <v>71</v>
      </c>
      <c r="P254" s="1" t="str">
        <f aca="false">IF(H254="Yes",IF(J254="MLS","Pro - MLS",IF(J254="MLS NEXT Pro","Pro - MLS NEXT Pro",IF(J254="USL Championship","Pro - USL Championship",IF(J254="USL League One","Pro - USL League One","Pro - Other")))),IF(H254="No",IF(K254="Amateur / Pre-Professional","Amateur / Pre-Professional","Returned to College"),"Unknown"))</f>
        <v>Unknown</v>
      </c>
      <c r="Q254" s="1" t="str">
        <f aca="false">IF(E254="Yes","Yes","No")</f>
        <v>No</v>
      </c>
      <c r="R254" s="1" t="str">
        <f aca="false">IF(H254="Yes","Yes","No")</f>
        <v>No</v>
      </c>
      <c r="S254" s="2" t="s">
        <v>954</v>
      </c>
      <c r="T254" s="2" t="s">
        <v>35</v>
      </c>
      <c r="U254" s="2" t="s">
        <v>36</v>
      </c>
    </row>
    <row r="255" customFormat="false" ht="15" hidden="false" customHeight="true" outlineLevel="0" collapsed="false">
      <c r="A255" s="6" t="s">
        <v>955</v>
      </c>
      <c r="B255" s="6" t="s">
        <v>22</v>
      </c>
      <c r="C255" s="6" t="s">
        <v>953</v>
      </c>
      <c r="D255" s="6"/>
      <c r="E255" s="6" t="s">
        <v>25</v>
      </c>
      <c r="F255" s="6"/>
      <c r="G255" s="6"/>
      <c r="H255" s="6"/>
      <c r="I255" s="6"/>
      <c r="J255" s="6"/>
      <c r="K255" s="6" t="s">
        <v>88</v>
      </c>
      <c r="L255" s="6" t="s">
        <v>30</v>
      </c>
      <c r="M255" s="6"/>
      <c r="N255" s="6"/>
      <c r="O255" s="6" t="s">
        <v>71</v>
      </c>
      <c r="P255" s="1" t="str">
        <f aca="false">IF(H255="Yes",IF(J255="MLS","Pro - MLS",IF(J255="MLS NEXT Pro","Pro - MLS NEXT Pro",IF(J255="USL Championship","Pro - USL Championship",IF(J255="USL League One","Pro - USL League One","Pro - Other")))),IF(H255="No",IF(K255="Amateur / Pre-Professional","Amateur / Pre-Professional","Returned to College"),"Unknown"))</f>
        <v>Unknown</v>
      </c>
      <c r="Q255" s="1" t="str">
        <f aca="false">IF(E255="Yes","Yes","No")</f>
        <v>No</v>
      </c>
      <c r="R255" s="1" t="str">
        <f aca="false">IF(H255="Yes","Yes","No")</f>
        <v>No</v>
      </c>
      <c r="S255" s="2" t="s">
        <v>956</v>
      </c>
      <c r="T255" s="2" t="s">
        <v>35</v>
      </c>
      <c r="U255" s="2" t="s">
        <v>36</v>
      </c>
    </row>
    <row r="256" customFormat="false" ht="15" hidden="false" customHeight="true" outlineLevel="0" collapsed="false">
      <c r="A256" s="6" t="s">
        <v>957</v>
      </c>
      <c r="B256" s="6" t="s">
        <v>38</v>
      </c>
      <c r="C256" s="6" t="s">
        <v>721</v>
      </c>
      <c r="D256" s="6"/>
      <c r="E256" s="6" t="s">
        <v>25</v>
      </c>
      <c r="F256" s="6"/>
      <c r="G256" s="6"/>
      <c r="H256" s="6" t="s">
        <v>26</v>
      </c>
      <c r="I256" s="6" t="s">
        <v>219</v>
      </c>
      <c r="J256" s="6" t="s">
        <v>76</v>
      </c>
      <c r="K256" s="6" t="s">
        <v>29</v>
      </c>
      <c r="L256" s="6" t="s">
        <v>30</v>
      </c>
      <c r="M256" s="6" t="s">
        <v>958</v>
      </c>
      <c r="N256" s="6" t="s">
        <v>959</v>
      </c>
      <c r="O256" s="6" t="s">
        <v>33</v>
      </c>
      <c r="P256" s="1" t="str">
        <f aca="false">IF(H256="Yes",IF(J256="MLS","Pro - MLS",IF(J256="MLS NEXT Pro","Pro - MLS NEXT Pro",IF(J256="USL Championship","Pro - USL Championship",IF(J256="USL League One","Pro - USL League One","Pro - Other")))),IF(H256="No",IF(K256="Amateur / Pre-Professional","Amateur / Pre-Professional","Returned to College"),"Unknown"))</f>
        <v>Pro - MLS NEXT Pro</v>
      </c>
      <c r="Q256" s="1" t="str">
        <f aca="false">IF(E256="Yes","Yes","No")</f>
        <v>No</v>
      </c>
      <c r="R256" s="1" t="str">
        <f aca="false">IF(H256="Yes","Yes","No")</f>
        <v>Yes</v>
      </c>
      <c r="S256" s="2" t="s">
        <v>724</v>
      </c>
      <c r="T256" s="2" t="s">
        <v>35</v>
      </c>
      <c r="U256" s="2" t="s">
        <v>36</v>
      </c>
    </row>
    <row r="257" customFormat="false" ht="15" hidden="false" customHeight="true" outlineLevel="0" collapsed="false">
      <c r="A257" s="6" t="s">
        <v>960</v>
      </c>
      <c r="B257" s="6" t="s">
        <v>63</v>
      </c>
      <c r="C257" s="6" t="s">
        <v>961</v>
      </c>
      <c r="D257" s="6" t="s">
        <v>612</v>
      </c>
      <c r="E257" s="6" t="s">
        <v>25</v>
      </c>
      <c r="F257" s="6"/>
      <c r="G257" s="6"/>
      <c r="H257" s="6"/>
      <c r="I257" s="6"/>
      <c r="J257" s="6"/>
      <c r="K257" s="6" t="s">
        <v>88</v>
      </c>
      <c r="L257" s="6" t="s">
        <v>436</v>
      </c>
      <c r="M257" s="6"/>
      <c r="N257" s="6"/>
      <c r="O257" s="6" t="s">
        <v>71</v>
      </c>
      <c r="P257" s="1" t="str">
        <f aca="false">IF(H257="Yes",IF(J257="MLS","Pro - MLS",IF(J257="MLS NEXT Pro","Pro - MLS NEXT Pro",IF(J257="USL Championship","Pro - USL Championship",IF(J257="USL League One","Pro - USL League One","Pro - Other")))),IF(H257="No",IF(K257="Amateur / Pre-Professional","Amateur / Pre-Professional","Returned to College"),"Unknown"))</f>
        <v>Unknown</v>
      </c>
      <c r="Q257" s="1" t="str">
        <f aca="false">IF(E257="Yes","Yes","No")</f>
        <v>No</v>
      </c>
      <c r="R257" s="1" t="str">
        <f aca="false">IF(H257="Yes","Yes","No")</f>
        <v>No</v>
      </c>
      <c r="T257" s="2" t="s">
        <v>437</v>
      </c>
      <c r="U257" s="2" t="s">
        <v>438</v>
      </c>
    </row>
    <row r="258" customFormat="false" ht="27.75" hidden="false" customHeight="true" outlineLevel="0" collapsed="false">
      <c r="A258" s="6" t="s">
        <v>962</v>
      </c>
      <c r="B258" s="6" t="s">
        <v>22</v>
      </c>
      <c r="C258" s="6" t="s">
        <v>447</v>
      </c>
      <c r="D258" s="6"/>
      <c r="E258" s="6" t="s">
        <v>26</v>
      </c>
      <c r="F258" s="6" t="n">
        <v>34</v>
      </c>
      <c r="G258" s="6" t="s">
        <v>66</v>
      </c>
      <c r="H258" s="6" t="s">
        <v>26</v>
      </c>
      <c r="I258" s="6" t="s">
        <v>963</v>
      </c>
      <c r="J258" s="6" t="s">
        <v>361</v>
      </c>
      <c r="K258" s="6" t="s">
        <v>29</v>
      </c>
      <c r="L258" s="6" t="s">
        <v>30</v>
      </c>
      <c r="M258" s="6" t="s">
        <v>133</v>
      </c>
      <c r="N258" s="6" t="s">
        <v>70</v>
      </c>
      <c r="O258" s="6" t="s">
        <v>71</v>
      </c>
      <c r="P258" s="1" t="str">
        <f aca="false">IF(H258="Yes",IF(J258="MLS","Pro - MLS",IF(J258="MLS NEXT Pro","Pro - MLS NEXT Pro",IF(J258="USL Championship","Pro - USL Championship",IF(J258="USL League One","Pro - USL League One","Pro - Other")))),IF(H258="No",IF(K258="Amateur / Pre-Professional","Amateur / Pre-Professional","Returned to College"),"Unknown"))</f>
        <v>Pro - USL Championship</v>
      </c>
      <c r="Q258" s="1" t="str">
        <f aca="false">IF(E258="Yes","Yes","No")</f>
        <v>Yes</v>
      </c>
      <c r="R258" s="1" t="str">
        <f aca="false">IF(H258="Yes","Yes","No")</f>
        <v>Yes</v>
      </c>
      <c r="U258" s="2" t="s">
        <v>56</v>
      </c>
    </row>
    <row r="259" customFormat="false" ht="15" hidden="false" customHeight="true" outlineLevel="0" collapsed="false">
      <c r="A259" s="6" t="s">
        <v>964</v>
      </c>
      <c r="B259" s="6" t="s">
        <v>48</v>
      </c>
      <c r="C259" s="6" t="s">
        <v>965</v>
      </c>
      <c r="D259" s="6" t="s">
        <v>121</v>
      </c>
      <c r="E259" s="6" t="s">
        <v>25</v>
      </c>
      <c r="F259" s="6"/>
      <c r="G259" s="6"/>
      <c r="H259" s="6"/>
      <c r="I259" s="6"/>
      <c r="J259" s="6"/>
      <c r="K259" s="6" t="s">
        <v>88</v>
      </c>
      <c r="L259" s="6" t="s">
        <v>30</v>
      </c>
      <c r="M259" s="6"/>
      <c r="N259" s="6"/>
      <c r="O259" s="6" t="s">
        <v>71</v>
      </c>
      <c r="P259" s="1" t="str">
        <f aca="false">IF(H259="Yes",IF(J259="MLS","Pro - MLS",IF(J259="MLS NEXT Pro","Pro - MLS NEXT Pro",IF(J259="USL Championship","Pro - USL Championship",IF(J259="USL League One","Pro - USL League One","Pro - Other")))),IF(H259="No",IF(K259="Amateur / Pre-Professional","Amateur / Pre-Professional","Returned to College"),"Unknown"))</f>
        <v>Unknown</v>
      </c>
      <c r="Q259" s="1" t="str">
        <f aca="false">IF(E259="Yes","Yes","No")</f>
        <v>No</v>
      </c>
      <c r="R259" s="1" t="str">
        <f aca="false">IF(H259="Yes","Yes","No")</f>
        <v>No</v>
      </c>
      <c r="S259" s="2" t="s">
        <v>966</v>
      </c>
      <c r="T259" s="2" t="s">
        <v>35</v>
      </c>
      <c r="U259" s="2" t="s">
        <v>36</v>
      </c>
    </row>
    <row r="260" customFormat="false" ht="15" hidden="false" customHeight="true" outlineLevel="0" collapsed="false">
      <c r="A260" s="6" t="s">
        <v>967</v>
      </c>
      <c r="B260" s="6" t="s">
        <v>22</v>
      </c>
      <c r="C260" s="6" t="s">
        <v>532</v>
      </c>
      <c r="D260" s="6"/>
      <c r="E260" s="6" t="s">
        <v>25</v>
      </c>
      <c r="F260" s="6"/>
      <c r="G260" s="6"/>
      <c r="H260" s="6" t="s">
        <v>25</v>
      </c>
      <c r="I260" s="6" t="s">
        <v>250</v>
      </c>
      <c r="J260" s="6" t="s">
        <v>51</v>
      </c>
      <c r="K260" s="6" t="s">
        <v>52</v>
      </c>
      <c r="L260" s="6" t="s">
        <v>53</v>
      </c>
      <c r="M260" s="6" t="s">
        <v>382</v>
      </c>
      <c r="N260" s="6" t="s">
        <v>968</v>
      </c>
      <c r="O260" s="6" t="s">
        <v>33</v>
      </c>
      <c r="P260" s="1" t="str">
        <f aca="false">IF(H260="Yes",IF(J260="MLS","Pro - MLS",IF(J260="MLS NEXT Pro","Pro - MLS NEXT Pro",IF(J260="USL Championship","Pro - USL Championship",IF(J260="USL League One","Pro - USL League One","Pro - Other")))),IF(H260="No",IF(K260="Amateur / Pre-Professional","Amateur / Pre-Professional","Returned to College"),"Unknown"))</f>
        <v>Returned to College</v>
      </c>
      <c r="Q260" s="1" t="str">
        <f aca="false">IF(E260="Yes","Yes","No")</f>
        <v>No</v>
      </c>
      <c r="R260" s="1" t="str">
        <f aca="false">IF(H260="Yes","Yes","No")</f>
        <v>No</v>
      </c>
      <c r="S260" s="2" t="s">
        <v>533</v>
      </c>
      <c r="T260" s="2" t="s">
        <v>35</v>
      </c>
      <c r="U260" s="2" t="s">
        <v>36</v>
      </c>
    </row>
    <row r="261" customFormat="false" ht="15" hidden="false" customHeight="true" outlineLevel="0" collapsed="false">
      <c r="A261" s="6" t="s">
        <v>969</v>
      </c>
      <c r="B261" s="6" t="s">
        <v>63</v>
      </c>
      <c r="C261" s="6" t="s">
        <v>820</v>
      </c>
      <c r="D261" s="6" t="s">
        <v>251</v>
      </c>
      <c r="E261" s="6" t="s">
        <v>25</v>
      </c>
      <c r="F261" s="6"/>
      <c r="G261" s="6"/>
      <c r="H261" s="6"/>
      <c r="I261" s="6"/>
      <c r="J261" s="6"/>
      <c r="K261" s="6" t="s">
        <v>88</v>
      </c>
      <c r="L261" s="6" t="s">
        <v>30</v>
      </c>
      <c r="M261" s="6"/>
      <c r="N261" s="6"/>
      <c r="O261" s="6" t="s">
        <v>71</v>
      </c>
      <c r="P261" s="1" t="str">
        <f aca="false">IF(H261="Yes",IF(J261="MLS","Pro - MLS",IF(J261="MLS NEXT Pro","Pro - MLS NEXT Pro",IF(J261="USL Championship","Pro - USL Championship",IF(J261="USL League One","Pro - USL League One","Pro - Other")))),IF(H261="No",IF(K261="Amateur / Pre-Professional","Amateur / Pre-Professional","Returned to College"),"Unknown"))</f>
        <v>Unknown</v>
      </c>
      <c r="Q261" s="1" t="str">
        <f aca="false">IF(E261="Yes","Yes","No")</f>
        <v>No</v>
      </c>
      <c r="R261" s="1" t="str">
        <f aca="false">IF(H261="Yes","Yes","No")</f>
        <v>No</v>
      </c>
      <c r="S261" s="2" t="s">
        <v>821</v>
      </c>
      <c r="T261" s="2" t="s">
        <v>35</v>
      </c>
      <c r="U261" s="2" t="s">
        <v>36</v>
      </c>
    </row>
    <row r="262" customFormat="false" ht="15" hidden="false" customHeight="true" outlineLevel="0" collapsed="false">
      <c r="A262" s="6" t="s">
        <v>970</v>
      </c>
      <c r="B262" s="6" t="s">
        <v>48</v>
      </c>
      <c r="C262" s="6" t="s">
        <v>630</v>
      </c>
      <c r="D262" s="6" t="s">
        <v>281</v>
      </c>
      <c r="E262" s="6" t="s">
        <v>25</v>
      </c>
      <c r="F262" s="6"/>
      <c r="G262" s="6"/>
      <c r="H262" s="6" t="s">
        <v>25</v>
      </c>
      <c r="I262" s="6" t="s">
        <v>630</v>
      </c>
      <c r="J262" s="6" t="s">
        <v>51</v>
      </c>
      <c r="K262" s="6" t="s">
        <v>52</v>
      </c>
      <c r="L262" s="6" t="s">
        <v>83</v>
      </c>
      <c r="M262" s="6" t="s">
        <v>760</v>
      </c>
      <c r="N262" s="6" t="s">
        <v>971</v>
      </c>
      <c r="O262" s="6" t="s">
        <v>33</v>
      </c>
      <c r="P262" s="1" t="str">
        <f aca="false">IF(H262="Yes",IF(J262="MLS","Pro - MLS",IF(J262="MLS NEXT Pro","Pro - MLS NEXT Pro",IF(J262="USL Championship","Pro - USL Championship",IF(J262="USL League One","Pro - USL League One","Pro - Other")))),IF(H262="No",IF(K262="Amateur / Pre-Professional","Amateur / Pre-Professional","Returned to College"),"Unknown"))</f>
        <v>Returned to College</v>
      </c>
      <c r="Q262" s="1" t="str">
        <f aca="false">IF(E262="Yes","Yes","No")</f>
        <v>No</v>
      </c>
      <c r="R262" s="1" t="str">
        <f aca="false">IF(H262="Yes","Yes","No")</f>
        <v>No</v>
      </c>
      <c r="S262" s="2" t="s">
        <v>972</v>
      </c>
      <c r="T262" s="2" t="s">
        <v>35</v>
      </c>
      <c r="U262" s="2" t="s">
        <v>36</v>
      </c>
    </row>
    <row r="263" customFormat="false" ht="15" hidden="false" customHeight="true" outlineLevel="0" collapsed="false">
      <c r="A263" s="6" t="s">
        <v>973</v>
      </c>
      <c r="B263" s="6" t="s">
        <v>48</v>
      </c>
      <c r="C263" s="6" t="s">
        <v>974</v>
      </c>
      <c r="D263" s="6" t="s">
        <v>975</v>
      </c>
      <c r="E263" s="6" t="s">
        <v>25</v>
      </c>
      <c r="F263" s="6"/>
      <c r="G263" s="6"/>
      <c r="H263" s="6" t="s">
        <v>25</v>
      </c>
      <c r="I263" s="6" t="s">
        <v>974</v>
      </c>
      <c r="J263" s="6" t="s">
        <v>51</v>
      </c>
      <c r="K263" s="6" t="s">
        <v>52</v>
      </c>
      <c r="L263" s="6" t="s">
        <v>83</v>
      </c>
      <c r="M263" s="6" t="s">
        <v>976</v>
      </c>
      <c r="N263" s="6" t="s">
        <v>977</v>
      </c>
      <c r="O263" s="6" t="s">
        <v>33</v>
      </c>
      <c r="P263" s="1" t="str">
        <f aca="false">IF(H263="Yes",IF(J263="MLS","Pro - MLS",IF(J263="MLS NEXT Pro","Pro - MLS NEXT Pro",IF(J263="USL Championship","Pro - USL Championship",IF(J263="USL League One","Pro - USL League One","Pro - Other")))),IF(H263="No",IF(K263="Amateur / Pre-Professional","Amateur / Pre-Professional","Returned to College"),"Unknown"))</f>
        <v>Returned to College</v>
      </c>
      <c r="Q263" s="1" t="str">
        <f aca="false">IF(E263="Yes","Yes","No")</f>
        <v>No</v>
      </c>
      <c r="R263" s="1" t="str">
        <f aca="false">IF(H263="Yes","Yes","No")</f>
        <v>No</v>
      </c>
      <c r="S263" s="2" t="s">
        <v>978</v>
      </c>
      <c r="T263" s="2" t="s">
        <v>35</v>
      </c>
      <c r="U263" s="2" t="s">
        <v>36</v>
      </c>
    </row>
    <row r="264" customFormat="false" ht="27.75" hidden="false" customHeight="true" outlineLevel="0" collapsed="false">
      <c r="A264" s="6" t="s">
        <v>979</v>
      </c>
      <c r="B264" s="6" t="s">
        <v>22</v>
      </c>
      <c r="C264" s="6" t="s">
        <v>73</v>
      </c>
      <c r="D264" s="6" t="s">
        <v>74</v>
      </c>
      <c r="E264" s="6" t="s">
        <v>26</v>
      </c>
      <c r="F264" s="6" t="n">
        <v>68</v>
      </c>
      <c r="G264" s="6" t="s">
        <v>251</v>
      </c>
      <c r="H264" s="6" t="s">
        <v>25</v>
      </c>
      <c r="I264" s="6" t="s">
        <v>73</v>
      </c>
      <c r="J264" s="6" t="s">
        <v>51</v>
      </c>
      <c r="K264" s="6" t="s">
        <v>52</v>
      </c>
      <c r="L264" s="6" t="s">
        <v>83</v>
      </c>
      <c r="M264" s="6" t="s">
        <v>980</v>
      </c>
      <c r="N264" s="6" t="s">
        <v>981</v>
      </c>
      <c r="O264" s="6" t="s">
        <v>33</v>
      </c>
      <c r="P264" s="1" t="str">
        <f aca="false">IF(H264="Yes",IF(J264="MLS","Pro - MLS",IF(J264="MLS NEXT Pro","Pro - MLS NEXT Pro",IF(J264="USL Championship","Pro - USL Championship",IF(J264="USL League One","Pro - USL League One","Pro - Other")))),IF(H264="No",IF(K264="Amateur / Pre-Professional","Amateur / Pre-Professional","Returned to College"),"Unknown"))</f>
        <v>Returned to College</v>
      </c>
      <c r="Q264" s="1" t="str">
        <f aca="false">IF(E264="Yes","Yes","No")</f>
        <v>Yes</v>
      </c>
      <c r="R264" s="1" t="str">
        <f aca="false">IF(H264="Yes","Yes","No")</f>
        <v>No</v>
      </c>
      <c r="U264" s="2" t="s">
        <v>56</v>
      </c>
    </row>
    <row r="265" customFormat="false" ht="27.75" hidden="false" customHeight="true" outlineLevel="0" collapsed="false">
      <c r="A265" s="6" t="s">
        <v>982</v>
      </c>
      <c r="B265" s="6" t="s">
        <v>22</v>
      </c>
      <c r="C265" s="6" t="s">
        <v>405</v>
      </c>
      <c r="D265" s="6" t="s">
        <v>301</v>
      </c>
      <c r="E265" s="6" t="s">
        <v>26</v>
      </c>
      <c r="F265" s="6" t="n">
        <v>15</v>
      </c>
      <c r="G265" s="6" t="s">
        <v>74</v>
      </c>
      <c r="H265" s="6" t="s">
        <v>26</v>
      </c>
      <c r="I265" s="6" t="s">
        <v>583</v>
      </c>
      <c r="J265" s="6" t="s">
        <v>76</v>
      </c>
      <c r="K265" s="6" t="s">
        <v>29</v>
      </c>
      <c r="L265" s="6" t="s">
        <v>30</v>
      </c>
      <c r="M265" s="6" t="s">
        <v>133</v>
      </c>
      <c r="N265" s="6" t="s">
        <v>70</v>
      </c>
      <c r="O265" s="6" t="s">
        <v>71</v>
      </c>
      <c r="P265" s="1" t="str">
        <f aca="false">IF(H265="Yes",IF(J265="MLS","Pro - MLS",IF(J265="MLS NEXT Pro","Pro - MLS NEXT Pro",IF(J265="USL Championship","Pro - USL Championship",IF(J265="USL League One","Pro - USL League One","Pro - Other")))),IF(H265="No",IF(K265="Amateur / Pre-Professional","Amateur / Pre-Professional","Returned to College"),"Unknown"))</f>
        <v>Pro - MLS NEXT Pro</v>
      </c>
      <c r="Q265" s="1" t="str">
        <f aca="false">IF(E265="Yes","Yes","No")</f>
        <v>Yes</v>
      </c>
      <c r="R265" s="1" t="str">
        <f aca="false">IF(H265="Yes","Yes","No")</f>
        <v>Yes</v>
      </c>
      <c r="U265" s="2" t="s">
        <v>56</v>
      </c>
    </row>
    <row r="266" customFormat="false" ht="15" hidden="false" customHeight="true" outlineLevel="0" collapsed="false">
      <c r="A266" s="6" t="s">
        <v>983</v>
      </c>
      <c r="B266" s="6" t="s">
        <v>38</v>
      </c>
      <c r="C266" s="6" t="s">
        <v>984</v>
      </c>
      <c r="D266" s="6" t="s">
        <v>210</v>
      </c>
      <c r="E266" s="6" t="s">
        <v>25</v>
      </c>
      <c r="F266" s="6"/>
      <c r="G266" s="6"/>
      <c r="H266" s="6"/>
      <c r="I266" s="6"/>
      <c r="J266" s="6"/>
      <c r="K266" s="6" t="s">
        <v>88</v>
      </c>
      <c r="L266" s="6" t="s">
        <v>436</v>
      </c>
      <c r="M266" s="6"/>
      <c r="N266" s="6"/>
      <c r="O266" s="6" t="s">
        <v>71</v>
      </c>
      <c r="P266" s="1" t="str">
        <f aca="false">IF(H266="Yes",IF(J266="MLS","Pro - MLS",IF(J266="MLS NEXT Pro","Pro - MLS NEXT Pro",IF(J266="USL Championship","Pro - USL Championship",IF(J266="USL League One","Pro - USL League One","Pro - Other")))),IF(H266="No",IF(K266="Amateur / Pre-Professional","Amateur / Pre-Professional","Returned to College"),"Unknown"))</f>
        <v>Unknown</v>
      </c>
      <c r="Q266" s="1" t="str">
        <f aca="false">IF(E266="Yes","Yes","No")</f>
        <v>No</v>
      </c>
      <c r="R266" s="1" t="str">
        <f aca="false">IF(H266="Yes","Yes","No")</f>
        <v>No</v>
      </c>
      <c r="T266" s="2" t="s">
        <v>437</v>
      </c>
      <c r="U266" s="2" t="s">
        <v>438</v>
      </c>
    </row>
    <row r="267" customFormat="false" ht="15" hidden="false" customHeight="true" outlineLevel="0" collapsed="false">
      <c r="A267" s="6" t="s">
        <v>985</v>
      </c>
      <c r="B267" s="6" t="s">
        <v>63</v>
      </c>
      <c r="C267" s="6" t="s">
        <v>986</v>
      </c>
      <c r="D267" s="6" t="s">
        <v>66</v>
      </c>
      <c r="E267" s="6" t="s">
        <v>25</v>
      </c>
      <c r="F267" s="6"/>
      <c r="G267" s="6"/>
      <c r="H267" s="6"/>
      <c r="I267" s="6"/>
      <c r="J267" s="6"/>
      <c r="K267" s="6" t="s">
        <v>88</v>
      </c>
      <c r="L267" s="6" t="s">
        <v>30</v>
      </c>
      <c r="M267" s="6"/>
      <c r="N267" s="6"/>
      <c r="O267" s="6" t="s">
        <v>71</v>
      </c>
      <c r="P267" s="1" t="str">
        <f aca="false">IF(H267="Yes",IF(J267="MLS","Pro - MLS",IF(J267="MLS NEXT Pro","Pro - MLS NEXT Pro",IF(J267="USL Championship","Pro - USL Championship",IF(J267="USL League One","Pro - USL League One","Pro - Other")))),IF(H267="No",IF(K267="Amateur / Pre-Professional","Amateur / Pre-Professional","Returned to College"),"Unknown"))</f>
        <v>Unknown</v>
      </c>
      <c r="Q267" s="1" t="str">
        <f aca="false">IF(E267="Yes","Yes","No")</f>
        <v>No</v>
      </c>
      <c r="R267" s="1" t="str">
        <f aca="false">IF(H267="Yes","Yes","No")</f>
        <v>No</v>
      </c>
      <c r="S267" s="2" t="s">
        <v>987</v>
      </c>
      <c r="T267" s="2" t="s">
        <v>35</v>
      </c>
      <c r="U267" s="2" t="s">
        <v>36</v>
      </c>
    </row>
    <row r="268" customFormat="false" ht="15" hidden="false" customHeight="true" outlineLevel="0" collapsed="false">
      <c r="A268" s="6" t="s">
        <v>988</v>
      </c>
      <c r="B268" s="6" t="s">
        <v>63</v>
      </c>
      <c r="C268" s="6" t="s">
        <v>953</v>
      </c>
      <c r="D268" s="6"/>
      <c r="E268" s="6" t="s">
        <v>25</v>
      </c>
      <c r="F268" s="6"/>
      <c r="G268" s="6"/>
      <c r="H268" s="6"/>
      <c r="I268" s="6"/>
      <c r="J268" s="6"/>
      <c r="K268" s="6" t="s">
        <v>88</v>
      </c>
      <c r="L268" s="6" t="s">
        <v>43</v>
      </c>
      <c r="M268" s="6"/>
      <c r="N268" s="6"/>
      <c r="O268" s="6" t="s">
        <v>71</v>
      </c>
      <c r="P268" s="1" t="str">
        <f aca="false">IF(H268="Yes",IF(J268="MLS","Pro - MLS",IF(J268="MLS NEXT Pro","Pro - MLS NEXT Pro",IF(J268="USL Championship","Pro - USL Championship",IF(J268="USL League One","Pro - USL League One","Pro - Other")))),IF(H268="No",IF(K268="Amateur / Pre-Professional","Amateur / Pre-Professional","Returned to College"),"Unknown"))</f>
        <v>Unknown</v>
      </c>
      <c r="Q268" s="1" t="str">
        <f aca="false">IF(E268="Yes","Yes","No")</f>
        <v>No</v>
      </c>
      <c r="R268" s="1" t="str">
        <f aca="false">IF(H268="Yes","Yes","No")</f>
        <v>No</v>
      </c>
      <c r="S268" s="2" t="s">
        <v>989</v>
      </c>
      <c r="T268" s="2" t="s">
        <v>35</v>
      </c>
      <c r="U268" s="2" t="s">
        <v>36</v>
      </c>
    </row>
    <row r="269" customFormat="false" ht="15" hidden="false" customHeight="true" outlineLevel="0" collapsed="false">
      <c r="A269" s="6" t="s">
        <v>990</v>
      </c>
      <c r="B269" s="6" t="s">
        <v>38</v>
      </c>
      <c r="C269" s="6" t="s">
        <v>477</v>
      </c>
      <c r="D269" s="6"/>
      <c r="E269" s="6" t="s">
        <v>25</v>
      </c>
      <c r="F269" s="6"/>
      <c r="G269" s="6"/>
      <c r="H269" s="6"/>
      <c r="I269" s="6"/>
      <c r="J269" s="6"/>
      <c r="K269" s="6" t="s">
        <v>88</v>
      </c>
      <c r="L269" s="6" t="s">
        <v>30</v>
      </c>
      <c r="M269" s="6"/>
      <c r="N269" s="6"/>
      <c r="O269" s="6" t="s">
        <v>71</v>
      </c>
      <c r="P269" s="1" t="str">
        <f aca="false">IF(H269="Yes",IF(J269="MLS","Pro - MLS",IF(J269="MLS NEXT Pro","Pro - MLS NEXT Pro",IF(J269="USL Championship","Pro - USL Championship",IF(J269="USL League One","Pro - USL League One","Pro - Other")))),IF(H269="No",IF(K269="Amateur / Pre-Professional","Amateur / Pre-Professional","Returned to College"),"Unknown"))</f>
        <v>Unknown</v>
      </c>
      <c r="Q269" s="1" t="str">
        <f aca="false">IF(E269="Yes","Yes","No")</f>
        <v>No</v>
      </c>
      <c r="R269" s="1" t="str">
        <f aca="false">IF(H269="Yes","Yes","No")</f>
        <v>No</v>
      </c>
      <c r="S269" s="2" t="s">
        <v>991</v>
      </c>
      <c r="T269" s="2" t="s">
        <v>35</v>
      </c>
      <c r="U269" s="2" t="s">
        <v>36</v>
      </c>
    </row>
    <row r="270" customFormat="false" ht="15" hidden="false" customHeight="true" outlineLevel="0" collapsed="false">
      <c r="A270" s="6" t="s">
        <v>992</v>
      </c>
      <c r="B270" s="6" t="s">
        <v>63</v>
      </c>
      <c r="C270" s="6" t="s">
        <v>993</v>
      </c>
      <c r="D270" s="6"/>
      <c r="E270" s="6" t="s">
        <v>25</v>
      </c>
      <c r="F270" s="6"/>
      <c r="G270" s="6"/>
      <c r="H270" s="6" t="s">
        <v>25</v>
      </c>
      <c r="I270" s="6" t="s">
        <v>993</v>
      </c>
      <c r="J270" s="6" t="s">
        <v>51</v>
      </c>
      <c r="K270" s="6" t="s">
        <v>52</v>
      </c>
      <c r="L270" s="6" t="s">
        <v>53</v>
      </c>
      <c r="M270" s="6" t="s">
        <v>994</v>
      </c>
      <c r="N270" s="6" t="s">
        <v>995</v>
      </c>
      <c r="O270" s="6" t="s">
        <v>33</v>
      </c>
      <c r="P270" s="1" t="str">
        <f aca="false">IF(H270="Yes",IF(J270="MLS","Pro - MLS",IF(J270="MLS NEXT Pro","Pro - MLS NEXT Pro",IF(J270="USL Championship","Pro - USL Championship",IF(J270="USL League One","Pro - USL League One","Pro - Other")))),IF(H270="No",IF(K270="Amateur / Pre-Professional","Amateur / Pre-Professional","Returned to College"),"Unknown"))</f>
        <v>Returned to College</v>
      </c>
      <c r="Q270" s="1" t="str">
        <f aca="false">IF(E270="Yes","Yes","No")</f>
        <v>No</v>
      </c>
      <c r="R270" s="1" t="str">
        <f aca="false">IF(H270="Yes","Yes","No")</f>
        <v>No</v>
      </c>
      <c r="S270" s="2" t="s">
        <v>994</v>
      </c>
      <c r="T270" s="2" t="s">
        <v>35</v>
      </c>
      <c r="U270" s="2" t="s">
        <v>36</v>
      </c>
    </row>
    <row r="271" customFormat="false" ht="15" hidden="false" customHeight="true" outlineLevel="0" collapsed="false">
      <c r="A271" s="6" t="s">
        <v>996</v>
      </c>
      <c r="B271" s="6" t="s">
        <v>48</v>
      </c>
      <c r="C271" s="6" t="s">
        <v>746</v>
      </c>
      <c r="D271" s="6" t="s">
        <v>997</v>
      </c>
      <c r="E271" s="6" t="s">
        <v>25</v>
      </c>
      <c r="F271" s="6"/>
      <c r="G271" s="6"/>
      <c r="H271" s="6" t="s">
        <v>26</v>
      </c>
      <c r="I271" s="6" t="s">
        <v>998</v>
      </c>
      <c r="J271" s="6" t="s">
        <v>28</v>
      </c>
      <c r="K271" s="6" t="s">
        <v>29</v>
      </c>
      <c r="L271" s="6" t="s">
        <v>30</v>
      </c>
      <c r="M271" s="6" t="s">
        <v>999</v>
      </c>
      <c r="N271" s="6" t="s">
        <v>1000</v>
      </c>
      <c r="O271" s="6" t="s">
        <v>33</v>
      </c>
      <c r="P271" s="1" t="str">
        <f aca="false">IF(H271="Yes",IF(J271="MLS","Pro - MLS",IF(J271="MLS NEXT Pro","Pro - MLS NEXT Pro",IF(J271="USL Championship","Pro - USL Championship",IF(J271="USL League One","Pro - USL League One","Pro - Other")))),IF(H271="No",IF(K271="Amateur / Pre-Professional","Amateur / Pre-Professional","Returned to College"),"Unknown"))</f>
        <v>Pro - USL League One</v>
      </c>
      <c r="Q271" s="1" t="str">
        <f aca="false">IF(E271="Yes","Yes","No")</f>
        <v>No</v>
      </c>
      <c r="R271" s="1" t="str">
        <f aca="false">IF(H271="Yes","Yes","No")</f>
        <v>Yes</v>
      </c>
      <c r="S271" s="2" t="s">
        <v>1001</v>
      </c>
      <c r="T271" s="2" t="s">
        <v>35</v>
      </c>
      <c r="U271" s="2" t="s">
        <v>36</v>
      </c>
    </row>
    <row r="272" customFormat="false" ht="15" hidden="false" customHeight="true" outlineLevel="0" collapsed="false">
      <c r="A272" s="6" t="s">
        <v>1002</v>
      </c>
      <c r="B272" s="6" t="s">
        <v>63</v>
      </c>
      <c r="C272" s="6" t="s">
        <v>812</v>
      </c>
      <c r="D272" s="6"/>
      <c r="E272" s="6" t="s">
        <v>25</v>
      </c>
      <c r="F272" s="6"/>
      <c r="G272" s="6"/>
      <c r="H272" s="6" t="s">
        <v>25</v>
      </c>
      <c r="I272" s="6" t="s">
        <v>812</v>
      </c>
      <c r="J272" s="6" t="s">
        <v>51</v>
      </c>
      <c r="K272" s="6" t="s">
        <v>52</v>
      </c>
      <c r="L272" s="6" t="s">
        <v>83</v>
      </c>
      <c r="M272" s="6" t="s">
        <v>1003</v>
      </c>
      <c r="N272" s="6" t="s">
        <v>1004</v>
      </c>
      <c r="O272" s="6" t="s">
        <v>33</v>
      </c>
      <c r="P272" s="1" t="str">
        <f aca="false">IF(H272="Yes",IF(J272="MLS","Pro - MLS",IF(J272="MLS NEXT Pro","Pro - MLS NEXT Pro",IF(J272="USL Championship","Pro - USL Championship",IF(J272="USL League One","Pro - USL League One","Pro - Other")))),IF(H272="No",IF(K272="Amateur / Pre-Professional","Amateur / Pre-Professional","Returned to College"),"Unknown"))</f>
        <v>Returned to College</v>
      </c>
      <c r="Q272" s="1" t="str">
        <f aca="false">IF(E272="Yes","Yes","No")</f>
        <v>No</v>
      </c>
      <c r="R272" s="1" t="str">
        <f aca="false">IF(H272="Yes","Yes","No")</f>
        <v>No</v>
      </c>
      <c r="S272" s="2" t="s">
        <v>1005</v>
      </c>
      <c r="T272" s="2" t="s">
        <v>35</v>
      </c>
      <c r="U272" s="2" t="s">
        <v>36</v>
      </c>
    </row>
    <row r="273" customFormat="false" ht="15" hidden="false" customHeight="true" outlineLevel="0" collapsed="false">
      <c r="A273" s="6" t="s">
        <v>1006</v>
      </c>
      <c r="B273" s="6" t="s">
        <v>63</v>
      </c>
      <c r="C273" s="6" t="s">
        <v>148</v>
      </c>
      <c r="D273" s="6" t="s">
        <v>251</v>
      </c>
      <c r="E273" s="6" t="s">
        <v>25</v>
      </c>
      <c r="F273" s="6"/>
      <c r="G273" s="6"/>
      <c r="H273" s="6" t="s">
        <v>25</v>
      </c>
      <c r="I273" s="6" t="s">
        <v>630</v>
      </c>
      <c r="J273" s="6" t="s">
        <v>51</v>
      </c>
      <c r="K273" s="6" t="s">
        <v>52</v>
      </c>
      <c r="L273" s="6" t="s">
        <v>92</v>
      </c>
      <c r="M273" s="6" t="s">
        <v>760</v>
      </c>
      <c r="N273" s="6" t="s">
        <v>1007</v>
      </c>
      <c r="O273" s="6" t="s">
        <v>33</v>
      </c>
      <c r="P273" s="1" t="str">
        <f aca="false">IF(H273="Yes",IF(J273="MLS","Pro - MLS",IF(J273="MLS NEXT Pro","Pro - MLS NEXT Pro",IF(J273="USL Championship","Pro - USL Championship",IF(J273="USL League One","Pro - USL League One","Pro - Other")))),IF(H273="No",IF(K273="Amateur / Pre-Professional","Amateur / Pre-Professional","Returned to College"),"Unknown"))</f>
        <v>Returned to College</v>
      </c>
      <c r="Q273" s="1" t="str">
        <f aca="false">IF(E273="Yes","Yes","No")</f>
        <v>No</v>
      </c>
      <c r="R273" s="1" t="str">
        <f aca="false">IF(H273="Yes","Yes","No")</f>
        <v>No</v>
      </c>
      <c r="S273" s="2" t="s">
        <v>1008</v>
      </c>
      <c r="T273" s="2" t="s">
        <v>35</v>
      </c>
      <c r="U273" s="2" t="s">
        <v>153</v>
      </c>
    </row>
    <row r="274" customFormat="false" ht="27.75" hidden="false" customHeight="true" outlineLevel="0" collapsed="false">
      <c r="A274" s="6" t="s">
        <v>1009</v>
      </c>
      <c r="B274" s="6" t="s">
        <v>48</v>
      </c>
      <c r="C274" s="6" t="s">
        <v>440</v>
      </c>
      <c r="D274" s="6" t="s">
        <v>548</v>
      </c>
      <c r="E274" s="6" t="s">
        <v>26</v>
      </c>
      <c r="F274" s="6" t="n">
        <v>50</v>
      </c>
      <c r="G274" s="6" t="s">
        <v>358</v>
      </c>
      <c r="H274" s="6" t="s">
        <v>25</v>
      </c>
      <c r="I274" s="6" t="s">
        <v>440</v>
      </c>
      <c r="J274" s="6" t="s">
        <v>51</v>
      </c>
      <c r="K274" s="6" t="s">
        <v>52</v>
      </c>
      <c r="L274" s="6" t="s">
        <v>30</v>
      </c>
      <c r="M274" s="6" t="s">
        <v>914</v>
      </c>
      <c r="N274" s="6" t="s">
        <v>1010</v>
      </c>
      <c r="O274" s="6" t="s">
        <v>33</v>
      </c>
      <c r="P274" s="1" t="str">
        <f aca="false">IF(H274="Yes",IF(J274="MLS","Pro - MLS",IF(J274="MLS NEXT Pro","Pro - MLS NEXT Pro",IF(J274="USL Championship","Pro - USL Championship",IF(J274="USL League One","Pro - USL League One","Pro - Other")))),IF(H274="No",IF(K274="Amateur / Pre-Professional","Amateur / Pre-Professional","Returned to College"),"Unknown"))</f>
        <v>Returned to College</v>
      </c>
      <c r="Q274" s="1" t="str">
        <f aca="false">IF(E274="Yes","Yes","No")</f>
        <v>Yes</v>
      </c>
      <c r="R274" s="1" t="str">
        <f aca="false">IF(H274="Yes","Yes","No")</f>
        <v>No</v>
      </c>
      <c r="U274" s="2" t="s">
        <v>56</v>
      </c>
    </row>
    <row r="275" customFormat="false" ht="27.75" hidden="false" customHeight="true" outlineLevel="0" collapsed="false">
      <c r="A275" s="6" t="s">
        <v>1011</v>
      </c>
      <c r="B275" s="6" t="s">
        <v>48</v>
      </c>
      <c r="C275" s="6" t="s">
        <v>953</v>
      </c>
      <c r="D275" s="6" t="s">
        <v>1012</v>
      </c>
      <c r="E275" s="6" t="s">
        <v>26</v>
      </c>
      <c r="F275" s="6" t="n">
        <v>9</v>
      </c>
      <c r="G275" s="6" t="s">
        <v>306</v>
      </c>
      <c r="H275" s="6" t="s">
        <v>26</v>
      </c>
      <c r="I275" s="6" t="s">
        <v>306</v>
      </c>
      <c r="J275" s="6" t="s">
        <v>67</v>
      </c>
      <c r="K275" s="6" t="s">
        <v>29</v>
      </c>
      <c r="L275" s="6" t="s">
        <v>30</v>
      </c>
      <c r="M275" s="6" t="s">
        <v>69</v>
      </c>
      <c r="N275" s="6" t="s">
        <v>70</v>
      </c>
      <c r="O275" s="6" t="s">
        <v>71</v>
      </c>
      <c r="P275" s="1" t="str">
        <f aca="false">IF(H275="Yes",IF(J275="MLS","Pro - MLS",IF(J275="MLS NEXT Pro","Pro - MLS NEXT Pro",IF(J275="USL Championship","Pro - USL Championship",IF(J275="USL League One","Pro - USL League One","Pro - Other")))),IF(H275="No",IF(K275="Amateur / Pre-Professional","Amateur / Pre-Professional","Returned to College"),"Unknown"))</f>
        <v>Pro - MLS</v>
      </c>
      <c r="Q275" s="1" t="str">
        <f aca="false">IF(E275="Yes","Yes","No")</f>
        <v>Yes</v>
      </c>
      <c r="R275" s="1" t="str">
        <f aca="false">IF(H275="Yes","Yes","No")</f>
        <v>Yes</v>
      </c>
      <c r="U275" s="2" t="s">
        <v>56</v>
      </c>
    </row>
    <row r="276" customFormat="false" ht="15" hidden="false" customHeight="true" outlineLevel="0" collapsed="false">
      <c r="A276" s="6" t="s">
        <v>1013</v>
      </c>
      <c r="B276" s="6" t="s">
        <v>63</v>
      </c>
      <c r="C276" s="6" t="s">
        <v>111</v>
      </c>
      <c r="D276" s="6" t="s">
        <v>538</v>
      </c>
      <c r="E276" s="6" t="s">
        <v>25</v>
      </c>
      <c r="F276" s="6"/>
      <c r="G276" s="6"/>
      <c r="H276" s="6" t="s">
        <v>26</v>
      </c>
      <c r="I276" s="6" t="s">
        <v>388</v>
      </c>
      <c r="J276" s="6" t="s">
        <v>28</v>
      </c>
      <c r="K276" s="6" t="s">
        <v>29</v>
      </c>
      <c r="L276" s="6" t="s">
        <v>43</v>
      </c>
      <c r="M276" s="6" t="s">
        <v>1014</v>
      </c>
      <c r="N276" s="6" t="s">
        <v>1015</v>
      </c>
      <c r="O276" s="6" t="s">
        <v>33</v>
      </c>
      <c r="P276" s="1" t="str">
        <f aca="false">IF(H276="Yes",IF(J276="MLS","Pro - MLS",IF(J276="MLS NEXT Pro","Pro - MLS NEXT Pro",IF(J276="USL Championship","Pro - USL Championship",IF(J276="USL League One","Pro - USL League One","Pro - Other")))),IF(H276="No",IF(K276="Amateur / Pre-Professional","Amateur / Pre-Professional","Returned to College"),"Unknown"))</f>
        <v>Pro - USL League One</v>
      </c>
      <c r="Q276" s="1" t="str">
        <f aca="false">IF(E276="Yes","Yes","No")</f>
        <v>No</v>
      </c>
      <c r="R276" s="1" t="str">
        <f aca="false">IF(H276="Yes","Yes","No")</f>
        <v>Yes</v>
      </c>
      <c r="S276" s="2" t="s">
        <v>113</v>
      </c>
      <c r="T276" s="2" t="s">
        <v>35</v>
      </c>
      <c r="U276" s="2" t="s">
        <v>36</v>
      </c>
    </row>
    <row r="277" customFormat="false" ht="27.75" hidden="false" customHeight="true" outlineLevel="0" collapsed="false">
      <c r="A277" s="6" t="s">
        <v>1016</v>
      </c>
      <c r="B277" s="6" t="s">
        <v>48</v>
      </c>
      <c r="C277" s="6" t="s">
        <v>331</v>
      </c>
      <c r="D277" s="6"/>
      <c r="E277" s="6" t="s">
        <v>26</v>
      </c>
      <c r="F277" s="6" t="n">
        <v>38</v>
      </c>
      <c r="G277" s="6" t="s">
        <v>251</v>
      </c>
      <c r="H277" s="6" t="s">
        <v>26</v>
      </c>
      <c r="I277" s="6" t="s">
        <v>252</v>
      </c>
      <c r="J277" s="6" t="s">
        <v>76</v>
      </c>
      <c r="K277" s="6" t="s">
        <v>29</v>
      </c>
      <c r="L277" s="6" t="s">
        <v>584</v>
      </c>
      <c r="M277" s="6" t="s">
        <v>133</v>
      </c>
      <c r="N277" s="6" t="s">
        <v>70</v>
      </c>
      <c r="O277" s="6" t="s">
        <v>71</v>
      </c>
      <c r="P277" s="1" t="str">
        <f aca="false">IF(H277="Yes",IF(J277="MLS","Pro - MLS",IF(J277="MLS NEXT Pro","Pro - MLS NEXT Pro",IF(J277="USL Championship","Pro - USL Championship",IF(J277="USL League One","Pro - USL League One","Pro - Other")))),IF(H277="No",IF(K277="Amateur / Pre-Professional","Amateur / Pre-Professional","Returned to College"),"Unknown"))</f>
        <v>Pro - MLS NEXT Pro</v>
      </c>
      <c r="Q277" s="1" t="str">
        <f aca="false">IF(E277="Yes","Yes","No")</f>
        <v>Yes</v>
      </c>
      <c r="R277" s="1" t="str">
        <f aca="false">IF(H277="Yes","Yes","No")</f>
        <v>Yes</v>
      </c>
      <c r="U277" s="2" t="s">
        <v>56</v>
      </c>
    </row>
    <row r="278" customFormat="false" ht="15" hidden="false" customHeight="true" outlineLevel="0" collapsed="false">
      <c r="A278" s="6" t="s">
        <v>1017</v>
      </c>
      <c r="B278" s="6" t="s">
        <v>48</v>
      </c>
      <c r="C278" s="6" t="s">
        <v>81</v>
      </c>
      <c r="D278" s="6" t="s">
        <v>1018</v>
      </c>
      <c r="E278" s="6" t="s">
        <v>25</v>
      </c>
      <c r="F278" s="6"/>
      <c r="G278" s="6"/>
      <c r="H278" s="6" t="s">
        <v>25</v>
      </c>
      <c r="I278" s="6" t="s">
        <v>81</v>
      </c>
      <c r="J278" s="6" t="s">
        <v>51</v>
      </c>
      <c r="K278" s="6" t="s">
        <v>52</v>
      </c>
      <c r="L278" s="6" t="s">
        <v>83</v>
      </c>
      <c r="M278" s="6" t="s">
        <v>225</v>
      </c>
      <c r="N278" s="6" t="s">
        <v>1019</v>
      </c>
      <c r="O278" s="6" t="s">
        <v>33</v>
      </c>
      <c r="P278" s="1" t="str">
        <f aca="false">IF(H278="Yes",IF(J278="MLS","Pro - MLS",IF(J278="MLS NEXT Pro","Pro - MLS NEXT Pro",IF(J278="USL Championship","Pro - USL Championship",IF(J278="USL League One","Pro - USL League One","Pro - Other")))),IF(H278="No",IF(K278="Amateur / Pre-Professional","Amateur / Pre-Professional","Returned to College"),"Unknown"))</f>
        <v>Returned to College</v>
      </c>
      <c r="Q278" s="1" t="str">
        <f aca="false">IF(E278="Yes","Yes","No")</f>
        <v>No</v>
      </c>
      <c r="R278" s="1" t="str">
        <f aca="false">IF(H278="Yes","Yes","No")</f>
        <v>No</v>
      </c>
      <c r="U278" s="2" t="s">
        <v>56</v>
      </c>
    </row>
    <row r="279" customFormat="false" ht="27.75" hidden="false" customHeight="true" outlineLevel="0" collapsed="false">
      <c r="A279" s="6" t="s">
        <v>1020</v>
      </c>
      <c r="B279" s="6" t="s">
        <v>22</v>
      </c>
      <c r="C279" s="6" t="s">
        <v>357</v>
      </c>
      <c r="D279" s="6"/>
      <c r="E279" s="6" t="s">
        <v>26</v>
      </c>
      <c r="F279" s="6" t="n">
        <v>23</v>
      </c>
      <c r="G279" s="6" t="s">
        <v>278</v>
      </c>
      <c r="H279" s="6" t="s">
        <v>25</v>
      </c>
      <c r="I279" s="6" t="s">
        <v>357</v>
      </c>
      <c r="J279" s="6" t="s">
        <v>51</v>
      </c>
      <c r="K279" s="6" t="s">
        <v>52</v>
      </c>
      <c r="L279" s="6" t="s">
        <v>83</v>
      </c>
      <c r="M279" s="6" t="s">
        <v>722</v>
      </c>
      <c r="N279" s="6" t="s">
        <v>863</v>
      </c>
      <c r="O279" s="6" t="s">
        <v>33</v>
      </c>
      <c r="P279" s="1" t="str">
        <f aca="false">IF(H279="Yes",IF(J279="MLS","Pro - MLS",IF(J279="MLS NEXT Pro","Pro - MLS NEXT Pro",IF(J279="USL Championship","Pro - USL Championship",IF(J279="USL League One","Pro - USL League One","Pro - Other")))),IF(H279="No",IF(K279="Amateur / Pre-Professional","Amateur / Pre-Professional","Returned to College"),"Unknown"))</f>
        <v>Returned to College</v>
      </c>
      <c r="Q279" s="1" t="str">
        <f aca="false">IF(E279="Yes","Yes","No")</f>
        <v>Yes</v>
      </c>
      <c r="R279" s="1" t="str">
        <f aca="false">IF(H279="Yes","Yes","No")</f>
        <v>No</v>
      </c>
      <c r="U279" s="2" t="s">
        <v>56</v>
      </c>
    </row>
    <row r="280" customFormat="false" ht="15" hidden="false" customHeight="true" outlineLevel="0" collapsed="false">
      <c r="A280" s="6" t="s">
        <v>1021</v>
      </c>
      <c r="B280" s="6" t="s">
        <v>63</v>
      </c>
      <c r="C280" s="6" t="s">
        <v>953</v>
      </c>
      <c r="D280" s="6" t="s">
        <v>1018</v>
      </c>
      <c r="E280" s="6" t="s">
        <v>25</v>
      </c>
      <c r="F280" s="6"/>
      <c r="G280" s="6"/>
      <c r="H280" s="6"/>
      <c r="I280" s="6"/>
      <c r="J280" s="6"/>
      <c r="K280" s="6" t="s">
        <v>88</v>
      </c>
      <c r="L280" s="6" t="s">
        <v>43</v>
      </c>
      <c r="M280" s="6"/>
      <c r="N280" s="6"/>
      <c r="O280" s="6" t="s">
        <v>71</v>
      </c>
      <c r="P280" s="1" t="str">
        <f aca="false">IF(H280="Yes",IF(J280="MLS","Pro - MLS",IF(J280="MLS NEXT Pro","Pro - MLS NEXT Pro",IF(J280="USL Championship","Pro - USL Championship",IF(J280="USL League One","Pro - USL League One","Pro - Other")))),IF(H280="No",IF(K280="Amateur / Pre-Professional","Amateur / Pre-Professional","Returned to College"),"Unknown"))</f>
        <v>Unknown</v>
      </c>
      <c r="Q280" s="1" t="str">
        <f aca="false">IF(E280="Yes","Yes","No")</f>
        <v>No</v>
      </c>
      <c r="R280" s="1" t="str">
        <f aca="false">IF(H280="Yes","Yes","No")</f>
        <v>No</v>
      </c>
      <c r="S280" s="2" t="s">
        <v>1022</v>
      </c>
      <c r="T280" s="2" t="s">
        <v>35</v>
      </c>
      <c r="U280" s="2" t="s">
        <v>36</v>
      </c>
    </row>
    <row r="281" customFormat="false" ht="27.75" hidden="false" customHeight="true" outlineLevel="0" collapsed="false">
      <c r="A281" s="6" t="s">
        <v>1023</v>
      </c>
      <c r="B281" s="6" t="s">
        <v>48</v>
      </c>
      <c r="C281" s="6" t="s">
        <v>789</v>
      </c>
      <c r="D281" s="6"/>
      <c r="E281" s="6" t="s">
        <v>25</v>
      </c>
      <c r="F281" s="6"/>
      <c r="G281" s="6"/>
      <c r="H281" s="6" t="s">
        <v>25</v>
      </c>
      <c r="I281" s="6" t="s">
        <v>789</v>
      </c>
      <c r="J281" s="6" t="s">
        <v>51</v>
      </c>
      <c r="K281" s="6" t="s">
        <v>52</v>
      </c>
      <c r="L281" s="6" t="s">
        <v>795</v>
      </c>
      <c r="M281" s="6" t="s">
        <v>790</v>
      </c>
      <c r="N281" s="6" t="s">
        <v>1024</v>
      </c>
      <c r="O281" s="6" t="s">
        <v>33</v>
      </c>
      <c r="P281" s="1" t="str">
        <f aca="false">IF(H281="Yes",IF(J281="MLS","Pro - MLS",IF(J281="MLS NEXT Pro","Pro - MLS NEXT Pro",IF(J281="USL Championship","Pro - USL Championship",IF(J281="USL League One","Pro - USL League One","Pro - Other")))),IF(H281="No",IF(K281="Amateur / Pre-Professional","Amateur / Pre-Professional","Returned to College"),"Unknown"))</f>
        <v>Returned to College</v>
      </c>
      <c r="Q281" s="1" t="str">
        <f aca="false">IF(E281="Yes","Yes","No")</f>
        <v>No</v>
      </c>
      <c r="R281" s="1" t="str">
        <f aca="false">IF(H281="Yes","Yes","No")</f>
        <v>No</v>
      </c>
      <c r="S281" s="2" t="s">
        <v>1025</v>
      </c>
      <c r="T281" s="2" t="s">
        <v>35</v>
      </c>
      <c r="U281" s="2" t="s">
        <v>1026</v>
      </c>
    </row>
    <row r="282" customFormat="false" ht="15" hidden="false" customHeight="true" outlineLevel="0" collapsed="false">
      <c r="A282" s="6" t="s">
        <v>1027</v>
      </c>
      <c r="B282" s="6" t="s">
        <v>63</v>
      </c>
      <c r="C282" s="6" t="s">
        <v>769</v>
      </c>
      <c r="D282" s="6"/>
      <c r="E282" s="6" t="s">
        <v>25</v>
      </c>
      <c r="F282" s="6"/>
      <c r="G282" s="6"/>
      <c r="H282" s="6" t="s">
        <v>25</v>
      </c>
      <c r="I282" s="6" t="s">
        <v>769</v>
      </c>
      <c r="J282" s="6" t="s">
        <v>51</v>
      </c>
      <c r="K282" s="6" t="s">
        <v>52</v>
      </c>
      <c r="L282" s="6" t="s">
        <v>83</v>
      </c>
      <c r="M282" s="6" t="s">
        <v>1028</v>
      </c>
      <c r="N282" s="6" t="s">
        <v>1029</v>
      </c>
      <c r="O282" s="6" t="s">
        <v>33</v>
      </c>
      <c r="P282" s="1" t="str">
        <f aca="false">IF(H282="Yes",IF(J282="MLS","Pro - MLS",IF(J282="MLS NEXT Pro","Pro - MLS NEXT Pro",IF(J282="USL Championship","Pro - USL Championship",IF(J282="USL League One","Pro - USL League One","Pro - Other")))),IF(H282="No",IF(K282="Amateur / Pre-Professional","Amateur / Pre-Professional","Returned to College"),"Unknown"))</f>
        <v>Returned to College</v>
      </c>
      <c r="Q282" s="1" t="str">
        <f aca="false">IF(E282="Yes","Yes","No")</f>
        <v>No</v>
      </c>
      <c r="R282" s="1" t="str">
        <f aca="false">IF(H282="Yes","Yes","No")</f>
        <v>No</v>
      </c>
      <c r="S282" s="2" t="s">
        <v>1030</v>
      </c>
      <c r="T282" s="2" t="s">
        <v>35</v>
      </c>
      <c r="U282" s="2" t="s">
        <v>36</v>
      </c>
    </row>
    <row r="283" customFormat="false" ht="15" hidden="false" customHeight="true" outlineLevel="0" collapsed="false">
      <c r="A283" s="6" t="s">
        <v>1031</v>
      </c>
      <c r="B283" s="6" t="s">
        <v>48</v>
      </c>
      <c r="C283" s="6" t="s">
        <v>933</v>
      </c>
      <c r="D283" s="6" t="s">
        <v>230</v>
      </c>
      <c r="E283" s="6" t="s">
        <v>25</v>
      </c>
      <c r="F283" s="6"/>
      <c r="G283" s="6"/>
      <c r="H283" s="6"/>
      <c r="I283" s="6"/>
      <c r="J283" s="6"/>
      <c r="K283" s="6" t="s">
        <v>88</v>
      </c>
      <c r="L283" s="6" t="s">
        <v>30</v>
      </c>
      <c r="M283" s="6"/>
      <c r="N283" s="6"/>
      <c r="O283" s="6" t="s">
        <v>71</v>
      </c>
      <c r="P283" s="1" t="str">
        <f aca="false">IF(H283="Yes",IF(J283="MLS","Pro - MLS",IF(J283="MLS NEXT Pro","Pro - MLS NEXT Pro",IF(J283="USL Championship","Pro - USL Championship",IF(J283="USL League One","Pro - USL League One","Pro - Other")))),IF(H283="No",IF(K283="Amateur / Pre-Professional","Amateur / Pre-Professional","Returned to College"),"Unknown"))</f>
        <v>Unknown</v>
      </c>
      <c r="Q283" s="1" t="str">
        <f aca="false">IF(E283="Yes","Yes","No")</f>
        <v>No</v>
      </c>
      <c r="R283" s="1" t="str">
        <f aca="false">IF(H283="Yes","Yes","No")</f>
        <v>No</v>
      </c>
      <c r="S283" s="2" t="s">
        <v>1032</v>
      </c>
      <c r="T283" s="2" t="s">
        <v>35</v>
      </c>
      <c r="U283" s="2" t="s">
        <v>36</v>
      </c>
    </row>
    <row r="284" customFormat="false" ht="15" hidden="false" customHeight="true" outlineLevel="0" collapsed="false">
      <c r="A284" s="6" t="s">
        <v>1033</v>
      </c>
      <c r="B284" s="6" t="s">
        <v>22</v>
      </c>
      <c r="C284" s="6" t="s">
        <v>240</v>
      </c>
      <c r="D284" s="6" t="s">
        <v>601</v>
      </c>
      <c r="E284" s="6" t="s">
        <v>25</v>
      </c>
      <c r="F284" s="6"/>
      <c r="G284" s="6"/>
      <c r="H284" s="6"/>
      <c r="I284" s="6"/>
      <c r="J284" s="6"/>
      <c r="K284" s="6" t="s">
        <v>88</v>
      </c>
      <c r="L284" s="6" t="s">
        <v>30</v>
      </c>
      <c r="M284" s="6"/>
      <c r="N284" s="6"/>
      <c r="O284" s="6" t="s">
        <v>71</v>
      </c>
      <c r="P284" s="1" t="str">
        <f aca="false">IF(H284="Yes",IF(J284="MLS","Pro - MLS",IF(J284="MLS NEXT Pro","Pro - MLS NEXT Pro",IF(J284="USL Championship","Pro - USL Championship",IF(J284="USL League One","Pro - USL League One","Pro - Other")))),IF(H284="No",IF(K284="Amateur / Pre-Professional","Amateur / Pre-Professional","Returned to College"),"Unknown"))</f>
        <v>Unknown</v>
      </c>
      <c r="Q284" s="1" t="str">
        <f aca="false">IF(E284="Yes","Yes","No")</f>
        <v>No</v>
      </c>
      <c r="R284" s="1" t="str">
        <f aca="false">IF(H284="Yes","Yes","No")</f>
        <v>No</v>
      </c>
      <c r="S284" s="2" t="s">
        <v>1034</v>
      </c>
      <c r="T284" s="2" t="s">
        <v>35</v>
      </c>
      <c r="U284" s="2" t="s">
        <v>36</v>
      </c>
    </row>
    <row r="285" customFormat="false" ht="15" hidden="false" customHeight="true" outlineLevel="0" collapsed="false">
      <c r="A285" s="6" t="s">
        <v>1035</v>
      </c>
      <c r="B285" s="6" t="s">
        <v>63</v>
      </c>
      <c r="C285" s="6" t="s">
        <v>1036</v>
      </c>
      <c r="D285" s="6"/>
      <c r="E285" s="6" t="s">
        <v>25</v>
      </c>
      <c r="F285" s="6"/>
      <c r="G285" s="6"/>
      <c r="H285" s="6" t="s">
        <v>25</v>
      </c>
      <c r="I285" s="6" t="s">
        <v>136</v>
      </c>
      <c r="J285" s="6" t="s">
        <v>51</v>
      </c>
      <c r="K285" s="6" t="s">
        <v>52</v>
      </c>
      <c r="L285" s="6" t="s">
        <v>83</v>
      </c>
      <c r="M285" s="6" t="s">
        <v>1037</v>
      </c>
      <c r="N285" s="6" t="s">
        <v>1038</v>
      </c>
      <c r="O285" s="6" t="s">
        <v>33</v>
      </c>
      <c r="P285" s="1" t="str">
        <f aca="false">IF(H285="Yes",IF(J285="MLS","Pro - MLS",IF(J285="MLS NEXT Pro","Pro - MLS NEXT Pro",IF(J285="USL Championship","Pro - USL Championship",IF(J285="USL League One","Pro - USL League One","Pro - Other")))),IF(H285="No",IF(K285="Amateur / Pre-Professional","Amateur / Pre-Professional","Returned to College"),"Unknown"))</f>
        <v>Returned to College</v>
      </c>
      <c r="Q285" s="1" t="str">
        <f aca="false">IF(E285="Yes","Yes","No")</f>
        <v>No</v>
      </c>
      <c r="R285" s="1" t="str">
        <f aca="false">IF(H285="Yes","Yes","No")</f>
        <v>No</v>
      </c>
      <c r="S285" s="2" t="s">
        <v>1039</v>
      </c>
      <c r="T285" s="2" t="s">
        <v>35</v>
      </c>
      <c r="U285" s="2" t="s">
        <v>1040</v>
      </c>
    </row>
    <row r="286" customFormat="false" ht="15" hidden="false" customHeight="true" outlineLevel="0" collapsed="false">
      <c r="A286" s="6" t="s">
        <v>1041</v>
      </c>
      <c r="B286" s="6" t="s">
        <v>22</v>
      </c>
      <c r="C286" s="6" t="s">
        <v>97</v>
      </c>
      <c r="D286" s="6"/>
      <c r="E286" s="6" t="s">
        <v>25</v>
      </c>
      <c r="F286" s="6"/>
      <c r="G286" s="6"/>
      <c r="H286" s="6"/>
      <c r="I286" s="6"/>
      <c r="J286" s="6"/>
      <c r="K286" s="6" t="s">
        <v>88</v>
      </c>
      <c r="L286" s="6" t="s">
        <v>30</v>
      </c>
      <c r="M286" s="6"/>
      <c r="N286" s="6"/>
      <c r="O286" s="6" t="s">
        <v>71</v>
      </c>
      <c r="P286" s="1" t="str">
        <f aca="false">IF(H286="Yes",IF(J286="MLS","Pro - MLS",IF(J286="MLS NEXT Pro","Pro - MLS NEXT Pro",IF(J286="USL Championship","Pro - USL Championship",IF(J286="USL League One","Pro - USL League One","Pro - Other")))),IF(H286="No",IF(K286="Amateur / Pre-Professional","Amateur / Pre-Professional","Returned to College"),"Unknown"))</f>
        <v>Unknown</v>
      </c>
      <c r="Q286" s="1" t="str">
        <f aca="false">IF(E286="Yes","Yes","No")</f>
        <v>No</v>
      </c>
      <c r="R286" s="1" t="str">
        <f aca="false">IF(H286="Yes","Yes","No")</f>
        <v>No</v>
      </c>
      <c r="S286" s="2" t="s">
        <v>98</v>
      </c>
      <c r="T286" s="2" t="s">
        <v>35</v>
      </c>
      <c r="U286" s="2" t="s">
        <v>36</v>
      </c>
    </row>
    <row r="287" customFormat="false" ht="27.75" hidden="false" customHeight="true" outlineLevel="0" collapsed="false">
      <c r="A287" s="6" t="s">
        <v>1042</v>
      </c>
      <c r="B287" s="6" t="s">
        <v>38</v>
      </c>
      <c r="C287" s="6" t="s">
        <v>1043</v>
      </c>
      <c r="D287" s="6" t="s">
        <v>733</v>
      </c>
      <c r="E287" s="6" t="s">
        <v>26</v>
      </c>
      <c r="F287" s="6" t="n">
        <v>83</v>
      </c>
      <c r="G287" s="6" t="s">
        <v>278</v>
      </c>
      <c r="H287" s="6" t="s">
        <v>25</v>
      </c>
      <c r="I287" s="6" t="s">
        <v>81</v>
      </c>
      <c r="J287" s="6" t="s">
        <v>51</v>
      </c>
      <c r="K287" s="6" t="s">
        <v>52</v>
      </c>
      <c r="L287" s="6" t="s">
        <v>53</v>
      </c>
      <c r="M287" s="6" t="s">
        <v>225</v>
      </c>
      <c r="N287" s="6" t="s">
        <v>1044</v>
      </c>
      <c r="O287" s="6" t="s">
        <v>33</v>
      </c>
      <c r="P287" s="1" t="str">
        <f aca="false">IF(H287="Yes",IF(J287="MLS","Pro - MLS",IF(J287="MLS NEXT Pro","Pro - MLS NEXT Pro",IF(J287="USL Championship","Pro - USL Championship",IF(J287="USL League One","Pro - USL League One","Pro - Other")))),IF(H287="No",IF(K287="Amateur / Pre-Professional","Amateur / Pre-Professional","Returned to College"),"Unknown"))</f>
        <v>Returned to College</v>
      </c>
      <c r="Q287" s="1" t="str">
        <f aca="false">IF(E287="Yes","Yes","No")</f>
        <v>Yes</v>
      </c>
      <c r="R287" s="1" t="str">
        <f aca="false">IF(H287="Yes","Yes","No")</f>
        <v>No</v>
      </c>
      <c r="U287" s="2" t="s">
        <v>56</v>
      </c>
    </row>
    <row r="288" customFormat="false" ht="15" hidden="false" customHeight="true" outlineLevel="0" collapsed="false">
      <c r="A288" s="6" t="s">
        <v>1045</v>
      </c>
      <c r="B288" s="6" t="s">
        <v>63</v>
      </c>
      <c r="C288" s="6" t="s">
        <v>879</v>
      </c>
      <c r="D288" s="6" t="s">
        <v>178</v>
      </c>
      <c r="E288" s="6" t="s">
        <v>25</v>
      </c>
      <c r="F288" s="6"/>
      <c r="G288" s="6"/>
      <c r="H288" s="6"/>
      <c r="I288" s="6"/>
      <c r="J288" s="6"/>
      <c r="K288" s="6" t="s">
        <v>88</v>
      </c>
      <c r="L288" s="6" t="s">
        <v>30</v>
      </c>
      <c r="M288" s="6"/>
      <c r="N288" s="6"/>
      <c r="O288" s="6" t="s">
        <v>71</v>
      </c>
      <c r="P288" s="1" t="str">
        <f aca="false">IF(H288="Yes",IF(J288="MLS","Pro - MLS",IF(J288="MLS NEXT Pro","Pro - MLS NEXT Pro",IF(J288="USL Championship","Pro - USL Championship",IF(J288="USL League One","Pro - USL League One","Pro - Other")))),IF(H288="No",IF(K288="Amateur / Pre-Professional","Amateur / Pre-Professional","Returned to College"),"Unknown"))</f>
        <v>Unknown</v>
      </c>
      <c r="Q288" s="1" t="str">
        <f aca="false">IF(E288="Yes","Yes","No")</f>
        <v>No</v>
      </c>
      <c r="R288" s="1" t="str">
        <f aca="false">IF(H288="Yes","Yes","No")</f>
        <v>No</v>
      </c>
      <c r="S288" s="2" t="s">
        <v>880</v>
      </c>
      <c r="T288" s="2" t="s">
        <v>35</v>
      </c>
      <c r="U288" s="2" t="s">
        <v>36</v>
      </c>
    </row>
    <row r="289" customFormat="false" ht="27.75" hidden="false" customHeight="true" outlineLevel="0" collapsed="false">
      <c r="A289" s="6" t="s">
        <v>1046</v>
      </c>
      <c r="B289" s="6" t="s">
        <v>63</v>
      </c>
      <c r="C289" s="6" t="s">
        <v>184</v>
      </c>
      <c r="D289" s="6"/>
      <c r="E289" s="6" t="s">
        <v>26</v>
      </c>
      <c r="F289" s="6" t="n">
        <v>71</v>
      </c>
      <c r="G289" s="6" t="s">
        <v>521</v>
      </c>
      <c r="H289" s="6" t="s">
        <v>25</v>
      </c>
      <c r="I289" s="6" t="s">
        <v>184</v>
      </c>
      <c r="J289" s="6" t="s">
        <v>51</v>
      </c>
      <c r="K289" s="6" t="s">
        <v>52</v>
      </c>
      <c r="L289" s="6" t="s">
        <v>83</v>
      </c>
      <c r="M289" s="6" t="s">
        <v>327</v>
      </c>
      <c r="N289" s="6" t="s">
        <v>328</v>
      </c>
      <c r="O289" s="6" t="s">
        <v>33</v>
      </c>
      <c r="P289" s="1" t="str">
        <f aca="false">IF(H289="Yes",IF(J289="MLS","Pro - MLS",IF(J289="MLS NEXT Pro","Pro - MLS NEXT Pro",IF(J289="USL Championship","Pro - USL Championship",IF(J289="USL League One","Pro - USL League One","Pro - Other")))),IF(H289="No",IF(K289="Amateur / Pre-Professional","Amateur / Pre-Professional","Returned to College"),"Unknown"))</f>
        <v>Returned to College</v>
      </c>
      <c r="Q289" s="1" t="str">
        <f aca="false">IF(E289="Yes","Yes","No")</f>
        <v>Yes</v>
      </c>
      <c r="R289" s="1" t="str">
        <f aca="false">IF(H289="Yes","Yes","No")</f>
        <v>No</v>
      </c>
      <c r="U289" s="2" t="s">
        <v>56</v>
      </c>
    </row>
    <row r="290" customFormat="false" ht="15" hidden="false" customHeight="true" outlineLevel="0" collapsed="false">
      <c r="A290" s="6" t="s">
        <v>1047</v>
      </c>
      <c r="B290" s="6" t="s">
        <v>1048</v>
      </c>
      <c r="C290" s="6" t="s">
        <v>184</v>
      </c>
      <c r="D290" s="6"/>
      <c r="E290" s="6" t="s">
        <v>25</v>
      </c>
      <c r="F290" s="6"/>
      <c r="G290" s="6"/>
      <c r="H290" s="6" t="s">
        <v>25</v>
      </c>
      <c r="I290" s="6" t="s">
        <v>184</v>
      </c>
      <c r="J290" s="6" t="s">
        <v>51</v>
      </c>
      <c r="K290" s="6" t="s">
        <v>52</v>
      </c>
      <c r="L290" s="6" t="s">
        <v>83</v>
      </c>
      <c r="M290" s="6" t="s">
        <v>327</v>
      </c>
      <c r="N290" s="6" t="s">
        <v>328</v>
      </c>
      <c r="O290" s="6" t="s">
        <v>33</v>
      </c>
      <c r="P290" s="1" t="str">
        <f aca="false">IF(H290="Yes",IF(J290="MLS","Pro - MLS",IF(J290="MLS NEXT Pro","Pro - MLS NEXT Pro",IF(J290="USL Championship","Pro - USL Championship",IF(J290="USL League One","Pro - USL League One","Pro - Other")))),IF(H290="No",IF(K290="Amateur / Pre-Professional","Amateur / Pre-Professional","Returned to College"),"Unknown"))</f>
        <v>Returned to College</v>
      </c>
      <c r="Q290" s="1" t="str">
        <f aca="false">IF(E290="Yes","Yes","No")</f>
        <v>No</v>
      </c>
      <c r="R290" s="1" t="str">
        <f aca="false">IF(H290="Yes","Yes","No")</f>
        <v>No</v>
      </c>
      <c r="S290" s="2" t="s">
        <v>1049</v>
      </c>
      <c r="T290" s="2" t="s">
        <v>35</v>
      </c>
      <c r="U290" s="2" t="s">
        <v>36</v>
      </c>
    </row>
    <row r="291" customFormat="false" ht="15" hidden="false" customHeight="true" outlineLevel="0" collapsed="false">
      <c r="A291" s="6" t="s">
        <v>1050</v>
      </c>
      <c r="B291" s="6" t="s">
        <v>48</v>
      </c>
      <c r="C291" s="6" t="s">
        <v>440</v>
      </c>
      <c r="D291" s="6"/>
      <c r="E291" s="6" t="s">
        <v>25</v>
      </c>
      <c r="F291" s="6"/>
      <c r="G291" s="6"/>
      <c r="H291" s="6" t="s">
        <v>26</v>
      </c>
      <c r="I291" s="6" t="s">
        <v>1051</v>
      </c>
      <c r="J291" s="6" t="s">
        <v>1052</v>
      </c>
      <c r="K291" s="6" t="s">
        <v>29</v>
      </c>
      <c r="L291" s="6" t="s">
        <v>83</v>
      </c>
      <c r="M291" s="6" t="s">
        <v>1053</v>
      </c>
      <c r="N291" s="6" t="s">
        <v>1054</v>
      </c>
      <c r="O291" s="6" t="s">
        <v>33</v>
      </c>
      <c r="P291" s="1" t="str">
        <f aca="false">IF(H291="Yes",IF(J291="MLS","Pro - MLS",IF(J291="MLS NEXT Pro","Pro - MLS NEXT Pro",IF(J291="USL Championship","Pro - USL Championship",IF(J291="USL League One","Pro - USL League One","Pro - Other")))),IF(H291="No",IF(K291="Amateur / Pre-Professional","Amateur / Pre-Professional","Returned to College"),"Unknown"))</f>
        <v>Pro - Other</v>
      </c>
      <c r="Q291" s="1" t="str">
        <f aca="false">IF(E291="Yes","Yes","No")</f>
        <v>No</v>
      </c>
      <c r="R291" s="1" t="str">
        <f aca="false">IF(H291="Yes","Yes","No")</f>
        <v>Yes</v>
      </c>
      <c r="S291" s="2" t="s">
        <v>1055</v>
      </c>
      <c r="T291" s="2" t="s">
        <v>35</v>
      </c>
      <c r="U291" s="2" t="s">
        <v>1056</v>
      </c>
    </row>
    <row r="292" customFormat="false" ht="15" hidden="false" customHeight="true" outlineLevel="0" collapsed="false">
      <c r="A292" s="6" t="s">
        <v>1057</v>
      </c>
      <c r="B292" s="6" t="s">
        <v>22</v>
      </c>
      <c r="C292" s="6" t="s">
        <v>357</v>
      </c>
      <c r="D292" s="6"/>
      <c r="E292" s="6" t="s">
        <v>25</v>
      </c>
      <c r="F292" s="6"/>
      <c r="G292" s="6"/>
      <c r="H292" s="6" t="s">
        <v>25</v>
      </c>
      <c r="I292" s="6" t="s">
        <v>357</v>
      </c>
      <c r="J292" s="6" t="s">
        <v>51</v>
      </c>
      <c r="K292" s="6" t="s">
        <v>52</v>
      </c>
      <c r="L292" s="6" t="s">
        <v>53</v>
      </c>
      <c r="M292" s="6" t="s">
        <v>722</v>
      </c>
      <c r="N292" s="6" t="s">
        <v>1058</v>
      </c>
      <c r="O292" s="6" t="s">
        <v>33</v>
      </c>
      <c r="P292" s="1" t="str">
        <f aca="false">IF(H292="Yes",IF(J292="MLS","Pro - MLS",IF(J292="MLS NEXT Pro","Pro - MLS NEXT Pro",IF(J292="USL Championship","Pro - USL Championship",IF(J292="USL League One","Pro - USL League One","Pro - Other")))),IF(H292="No",IF(K292="Amateur / Pre-Professional","Amateur / Pre-Professional","Returned to College"),"Unknown"))</f>
        <v>Returned to College</v>
      </c>
      <c r="Q292" s="1" t="str">
        <f aca="false">IF(E292="Yes","Yes","No")</f>
        <v>No</v>
      </c>
      <c r="R292" s="1" t="str">
        <f aca="false">IF(H292="Yes","Yes","No")</f>
        <v>No</v>
      </c>
      <c r="U292" s="2" t="s">
        <v>56</v>
      </c>
    </row>
    <row r="293" customFormat="false" ht="27.75" hidden="false" customHeight="true" outlineLevel="0" collapsed="false">
      <c r="A293" s="6" t="s">
        <v>1059</v>
      </c>
      <c r="B293" s="6" t="s">
        <v>22</v>
      </c>
      <c r="C293" s="6" t="s">
        <v>64</v>
      </c>
      <c r="D293" s="6"/>
      <c r="E293" s="6" t="s">
        <v>26</v>
      </c>
      <c r="F293" s="6" t="n">
        <v>26</v>
      </c>
      <c r="G293" s="6" t="s">
        <v>210</v>
      </c>
      <c r="H293" s="6" t="s">
        <v>25</v>
      </c>
      <c r="I293" s="6" t="s">
        <v>64</v>
      </c>
      <c r="J293" s="6" t="s">
        <v>51</v>
      </c>
      <c r="K293" s="6" t="s">
        <v>52</v>
      </c>
      <c r="L293" s="6" t="s">
        <v>53</v>
      </c>
      <c r="M293" s="6" t="s">
        <v>595</v>
      </c>
      <c r="N293" s="6" t="s">
        <v>1060</v>
      </c>
      <c r="O293" s="6" t="s">
        <v>33</v>
      </c>
      <c r="P293" s="1" t="str">
        <f aca="false">IF(H293="Yes",IF(J293="MLS","Pro - MLS",IF(J293="MLS NEXT Pro","Pro - MLS NEXT Pro",IF(J293="USL Championship","Pro - USL Championship",IF(J293="USL League One","Pro - USL League One","Pro - Other")))),IF(H293="No",IF(K293="Amateur / Pre-Professional","Amateur / Pre-Professional","Returned to College"),"Unknown"))</f>
        <v>Returned to College</v>
      </c>
      <c r="Q293" s="1" t="str">
        <f aca="false">IF(E293="Yes","Yes","No")</f>
        <v>Yes</v>
      </c>
      <c r="R293" s="1" t="str">
        <f aca="false">IF(H293="Yes","Yes","No")</f>
        <v>No</v>
      </c>
      <c r="U293" s="2" t="s">
        <v>56</v>
      </c>
    </row>
    <row r="294" customFormat="false" ht="15" hidden="false" customHeight="true" outlineLevel="0" collapsed="false">
      <c r="A294" s="6" t="s">
        <v>1061</v>
      </c>
      <c r="B294" s="6" t="s">
        <v>22</v>
      </c>
      <c r="C294" s="6" t="s">
        <v>305</v>
      </c>
      <c r="D294" s="6"/>
      <c r="E294" s="6" t="s">
        <v>25</v>
      </c>
      <c r="F294" s="6"/>
      <c r="G294" s="6"/>
      <c r="H294" s="6"/>
      <c r="I294" s="6"/>
      <c r="J294" s="6"/>
      <c r="K294" s="6" t="s">
        <v>88</v>
      </c>
      <c r="L294" s="6" t="s">
        <v>1062</v>
      </c>
      <c r="M294" s="6"/>
      <c r="N294" s="6"/>
      <c r="O294" s="6" t="s">
        <v>71</v>
      </c>
      <c r="P294" s="1" t="str">
        <f aca="false">IF(H294="Yes",IF(J294="MLS","Pro - MLS",IF(J294="MLS NEXT Pro","Pro - MLS NEXT Pro",IF(J294="USL Championship","Pro - USL Championship",IF(J294="USL League One","Pro - USL League One","Pro - Other")))),IF(H294="No",IF(K294="Amateur / Pre-Professional","Amateur / Pre-Professional","Returned to College"),"Unknown"))</f>
        <v>Unknown</v>
      </c>
      <c r="Q294" s="1" t="str">
        <f aca="false">IF(E294="Yes","Yes","No")</f>
        <v>No</v>
      </c>
      <c r="R294" s="1" t="str">
        <f aca="false">IF(H294="Yes","Yes","No")</f>
        <v>No</v>
      </c>
      <c r="S294" s="2" t="s">
        <v>307</v>
      </c>
      <c r="T294" s="2" t="s">
        <v>35</v>
      </c>
      <c r="U294" s="2" t="s">
        <v>36</v>
      </c>
    </row>
    <row r="295" customFormat="false" ht="15" hidden="false" customHeight="true" outlineLevel="0" collapsed="false">
      <c r="A295" s="6" t="s">
        <v>1063</v>
      </c>
      <c r="B295" s="6" t="s">
        <v>63</v>
      </c>
      <c r="C295" s="6" t="s">
        <v>1064</v>
      </c>
      <c r="D295" s="6"/>
      <c r="E295" s="6" t="s">
        <v>25</v>
      </c>
      <c r="F295" s="6"/>
      <c r="G295" s="6"/>
      <c r="H295" s="6"/>
      <c r="I295" s="6"/>
      <c r="J295" s="6"/>
      <c r="K295" s="6" t="s">
        <v>88</v>
      </c>
      <c r="L295" s="6" t="s">
        <v>30</v>
      </c>
      <c r="M295" s="6"/>
      <c r="N295" s="6"/>
      <c r="O295" s="6" t="s">
        <v>71</v>
      </c>
      <c r="P295" s="1" t="str">
        <f aca="false">IF(H295="Yes",IF(J295="MLS","Pro - MLS",IF(J295="MLS NEXT Pro","Pro - MLS NEXT Pro",IF(J295="USL Championship","Pro - USL Championship",IF(J295="USL League One","Pro - USL League One","Pro - Other")))),IF(H295="No",IF(K295="Amateur / Pre-Professional","Amateur / Pre-Professional","Returned to College"),"Unknown"))</f>
        <v>Unknown</v>
      </c>
      <c r="Q295" s="1" t="str">
        <f aca="false">IF(E295="Yes","Yes","No")</f>
        <v>No</v>
      </c>
      <c r="R295" s="1" t="str">
        <f aca="false">IF(H295="Yes","Yes","No")</f>
        <v>No</v>
      </c>
      <c r="S295" s="2" t="s">
        <v>1065</v>
      </c>
      <c r="T295" s="2" t="s">
        <v>35</v>
      </c>
      <c r="U295" s="2" t="s">
        <v>36</v>
      </c>
    </row>
    <row r="296" customFormat="false" ht="15" hidden="false" customHeight="true" outlineLevel="0" collapsed="false">
      <c r="A296" s="6" t="s">
        <v>1066</v>
      </c>
      <c r="B296" s="6" t="s">
        <v>38</v>
      </c>
      <c r="C296" s="6" t="s">
        <v>1067</v>
      </c>
      <c r="D296" s="6" t="s">
        <v>224</v>
      </c>
      <c r="E296" s="6" t="s">
        <v>25</v>
      </c>
      <c r="F296" s="6"/>
      <c r="G296" s="6"/>
      <c r="H296" s="6" t="s">
        <v>25</v>
      </c>
      <c r="I296" s="6" t="s">
        <v>1067</v>
      </c>
      <c r="J296" s="6" t="s">
        <v>51</v>
      </c>
      <c r="K296" s="6" t="s">
        <v>52</v>
      </c>
      <c r="L296" s="6" t="s">
        <v>92</v>
      </c>
      <c r="M296" s="6" t="s">
        <v>1068</v>
      </c>
      <c r="N296" s="6" t="s">
        <v>1069</v>
      </c>
      <c r="O296" s="6" t="s">
        <v>33</v>
      </c>
      <c r="P296" s="1" t="str">
        <f aca="false">IF(H296="Yes",IF(J296="MLS","Pro - MLS",IF(J296="MLS NEXT Pro","Pro - MLS NEXT Pro",IF(J296="USL Championship","Pro - USL Championship",IF(J296="USL League One","Pro - USL League One","Pro - Other")))),IF(H296="No",IF(K296="Amateur / Pre-Professional","Amateur / Pre-Professional","Returned to College"),"Unknown"))</f>
        <v>Returned to College</v>
      </c>
      <c r="Q296" s="1" t="str">
        <f aca="false">IF(E296="Yes","Yes","No")</f>
        <v>No</v>
      </c>
      <c r="R296" s="1" t="str">
        <f aca="false">IF(H296="Yes","Yes","No")</f>
        <v>No</v>
      </c>
      <c r="S296" s="2" t="s">
        <v>1070</v>
      </c>
      <c r="T296" s="2" t="s">
        <v>35</v>
      </c>
      <c r="U296" s="2" t="s">
        <v>36</v>
      </c>
    </row>
    <row r="297" customFormat="false" ht="15" hidden="false" customHeight="true" outlineLevel="0" collapsed="false">
      <c r="A297" s="6" t="s">
        <v>1071</v>
      </c>
      <c r="B297" s="6" t="s">
        <v>48</v>
      </c>
      <c r="C297" s="6" t="s">
        <v>752</v>
      </c>
      <c r="D297" s="6"/>
      <c r="E297" s="6" t="s">
        <v>25</v>
      </c>
      <c r="F297" s="6"/>
      <c r="G297" s="6"/>
      <c r="H297" s="6"/>
      <c r="I297" s="6"/>
      <c r="J297" s="6"/>
      <c r="K297" s="6" t="s">
        <v>88</v>
      </c>
      <c r="L297" s="6" t="s">
        <v>30</v>
      </c>
      <c r="M297" s="6"/>
      <c r="N297" s="6"/>
      <c r="O297" s="6" t="s">
        <v>71</v>
      </c>
      <c r="P297" s="1" t="str">
        <f aca="false">IF(H297="Yes",IF(J297="MLS","Pro - MLS",IF(J297="MLS NEXT Pro","Pro - MLS NEXT Pro",IF(J297="USL Championship","Pro - USL Championship",IF(J297="USL League One","Pro - USL League One","Pro - Other")))),IF(H297="No",IF(K297="Amateur / Pre-Professional","Amateur / Pre-Professional","Returned to College"),"Unknown"))</f>
        <v>Unknown</v>
      </c>
      <c r="Q297" s="1" t="str">
        <f aca="false">IF(E297="Yes","Yes","No")</f>
        <v>No</v>
      </c>
      <c r="R297" s="1" t="str">
        <f aca="false">IF(H297="Yes","Yes","No")</f>
        <v>No</v>
      </c>
      <c r="S297" s="2" t="s">
        <v>755</v>
      </c>
      <c r="T297" s="2" t="s">
        <v>35</v>
      </c>
      <c r="U297" s="2" t="s">
        <v>36</v>
      </c>
    </row>
    <row r="298" customFormat="false" ht="15" hidden="false" customHeight="true" outlineLevel="0" collapsed="false">
      <c r="A298" s="6" t="s">
        <v>1072</v>
      </c>
      <c r="B298" s="6" t="s">
        <v>63</v>
      </c>
      <c r="C298" s="6" t="s">
        <v>447</v>
      </c>
      <c r="D298" s="6" t="s">
        <v>281</v>
      </c>
      <c r="E298" s="6" t="s">
        <v>25</v>
      </c>
      <c r="F298" s="6"/>
      <c r="G298" s="6"/>
      <c r="H298" s="6" t="s">
        <v>25</v>
      </c>
      <c r="I298" s="6" t="s">
        <v>447</v>
      </c>
      <c r="J298" s="6" t="s">
        <v>51</v>
      </c>
      <c r="K298" s="6" t="s">
        <v>52</v>
      </c>
      <c r="L298" s="6" t="s">
        <v>30</v>
      </c>
      <c r="M298" s="6" t="s">
        <v>947</v>
      </c>
      <c r="N298" s="6" t="s">
        <v>1073</v>
      </c>
      <c r="O298" s="6" t="s">
        <v>33</v>
      </c>
      <c r="P298" s="1" t="str">
        <f aca="false">IF(H298="Yes",IF(J298="MLS","Pro - MLS",IF(J298="MLS NEXT Pro","Pro - MLS NEXT Pro",IF(J298="USL Championship","Pro - USL Championship",IF(J298="USL League One","Pro - USL League One","Pro - Other")))),IF(H298="No",IF(K298="Amateur / Pre-Professional","Amateur / Pre-Professional","Returned to College"),"Unknown"))</f>
        <v>Returned to College</v>
      </c>
      <c r="Q298" s="1" t="str">
        <f aca="false">IF(E298="Yes","Yes","No")</f>
        <v>No</v>
      </c>
      <c r="R298" s="1" t="str">
        <f aca="false">IF(H298="Yes","Yes","No")</f>
        <v>No</v>
      </c>
      <c r="S298" s="2" t="s">
        <v>451</v>
      </c>
      <c r="T298" s="2" t="s">
        <v>35</v>
      </c>
      <c r="U298" s="2" t="s">
        <v>36</v>
      </c>
    </row>
    <row r="299" customFormat="false" ht="15" hidden="false" customHeight="true" outlineLevel="0" collapsed="false">
      <c r="A299" s="6" t="s">
        <v>1074</v>
      </c>
      <c r="B299" s="6" t="s">
        <v>22</v>
      </c>
      <c r="C299" s="6" t="s">
        <v>322</v>
      </c>
      <c r="D299" s="6" t="s">
        <v>387</v>
      </c>
      <c r="E299" s="6" t="s">
        <v>25</v>
      </c>
      <c r="F299" s="6"/>
      <c r="G299" s="6"/>
      <c r="H299" s="6"/>
      <c r="I299" s="6"/>
      <c r="J299" s="6"/>
      <c r="K299" s="6" t="s">
        <v>88</v>
      </c>
      <c r="L299" s="6" t="s">
        <v>43</v>
      </c>
      <c r="M299" s="6"/>
      <c r="N299" s="6"/>
      <c r="O299" s="6" t="s">
        <v>71</v>
      </c>
      <c r="P299" s="1" t="str">
        <f aca="false">IF(H299="Yes",IF(J299="MLS","Pro - MLS",IF(J299="MLS NEXT Pro","Pro - MLS NEXT Pro",IF(J299="USL Championship","Pro - USL Championship",IF(J299="USL League One","Pro - USL League One","Pro - Other")))),IF(H299="No",IF(K299="Amateur / Pre-Professional","Amateur / Pre-Professional","Returned to College"),"Unknown"))</f>
        <v>Unknown</v>
      </c>
      <c r="Q299" s="1" t="str">
        <f aca="false">IF(E299="Yes","Yes","No")</f>
        <v>No</v>
      </c>
      <c r="R299" s="1" t="str">
        <f aca="false">IF(H299="Yes","Yes","No")</f>
        <v>No</v>
      </c>
      <c r="S299" s="2" t="s">
        <v>481</v>
      </c>
      <c r="T299" s="2" t="s">
        <v>35</v>
      </c>
      <c r="U299" s="2" t="s">
        <v>36</v>
      </c>
    </row>
    <row r="300" customFormat="false" ht="15" hidden="false" customHeight="true" outlineLevel="0" collapsed="false">
      <c r="A300" s="6" t="s">
        <v>1075</v>
      </c>
      <c r="B300" s="6" t="s">
        <v>38</v>
      </c>
      <c r="C300" s="6" t="s">
        <v>73</v>
      </c>
      <c r="D300" s="6" t="s">
        <v>210</v>
      </c>
      <c r="E300" s="6" t="s">
        <v>25</v>
      </c>
      <c r="F300" s="6"/>
      <c r="G300" s="6"/>
      <c r="H300" s="6"/>
      <c r="I300" s="6"/>
      <c r="J300" s="6"/>
      <c r="K300" s="6" t="s">
        <v>88</v>
      </c>
      <c r="L300" s="6" t="s">
        <v>30</v>
      </c>
      <c r="M300" s="6"/>
      <c r="N300" s="6"/>
      <c r="O300" s="6" t="s">
        <v>71</v>
      </c>
      <c r="P300" s="1" t="str">
        <f aca="false">IF(H300="Yes",IF(J300="MLS","Pro - MLS",IF(J300="MLS NEXT Pro","Pro - MLS NEXT Pro",IF(J300="USL Championship","Pro - USL Championship",IF(J300="USL League One","Pro - USL League One","Pro - Other")))),IF(H300="No",IF(K300="Amateur / Pre-Professional","Amateur / Pre-Professional","Returned to College"),"Unknown"))</f>
        <v>Unknown</v>
      </c>
      <c r="Q300" s="1" t="str">
        <f aca="false">IF(E300="Yes","Yes","No")</f>
        <v>No</v>
      </c>
      <c r="R300" s="1" t="str">
        <f aca="false">IF(H300="Yes","Yes","No")</f>
        <v>No</v>
      </c>
      <c r="S300" s="2" t="s">
        <v>79</v>
      </c>
      <c r="T300" s="2" t="s">
        <v>35</v>
      </c>
      <c r="U300" s="2" t="s">
        <v>36</v>
      </c>
    </row>
    <row r="301" customFormat="false" ht="15" hidden="false" customHeight="true" outlineLevel="0" collapsed="false">
      <c r="A301" s="6" t="s">
        <v>1076</v>
      </c>
      <c r="B301" s="6" t="s">
        <v>63</v>
      </c>
      <c r="C301" s="6" t="s">
        <v>400</v>
      </c>
      <c r="D301" s="6" t="s">
        <v>306</v>
      </c>
      <c r="E301" s="6" t="s">
        <v>25</v>
      </c>
      <c r="F301" s="6"/>
      <c r="G301" s="6"/>
      <c r="H301" s="6"/>
      <c r="I301" s="6"/>
      <c r="J301" s="6"/>
      <c r="K301" s="6" t="s">
        <v>88</v>
      </c>
      <c r="L301" s="6" t="s">
        <v>30</v>
      </c>
      <c r="M301" s="6"/>
      <c r="N301" s="6"/>
      <c r="O301" s="6" t="s">
        <v>71</v>
      </c>
      <c r="P301" s="1" t="str">
        <f aca="false">IF(H301="Yes",IF(J301="MLS","Pro - MLS",IF(J301="MLS NEXT Pro","Pro - MLS NEXT Pro",IF(J301="USL Championship","Pro - USL Championship",IF(J301="USL League One","Pro - USL League One","Pro - Other")))),IF(H301="No",IF(K301="Amateur / Pre-Professional","Amateur / Pre-Professional","Returned to College"),"Unknown"))</f>
        <v>Unknown</v>
      </c>
      <c r="Q301" s="1" t="str">
        <f aca="false">IF(E301="Yes","Yes","No")</f>
        <v>No</v>
      </c>
      <c r="R301" s="1" t="str">
        <f aca="false">IF(H301="Yes","Yes","No")</f>
        <v>No</v>
      </c>
      <c r="S301" s="2" t="s">
        <v>403</v>
      </c>
      <c r="T301" s="2" t="s">
        <v>35</v>
      </c>
      <c r="U301" s="2" t="s">
        <v>36</v>
      </c>
    </row>
    <row r="302" customFormat="false" ht="27.75" hidden="false" customHeight="true" outlineLevel="0" collapsed="false">
      <c r="A302" s="6" t="s">
        <v>1077</v>
      </c>
      <c r="B302" s="6" t="s">
        <v>48</v>
      </c>
      <c r="C302" s="6" t="s">
        <v>410</v>
      </c>
      <c r="D302" s="6" t="s">
        <v>542</v>
      </c>
      <c r="E302" s="6" t="s">
        <v>25</v>
      </c>
      <c r="F302" s="6"/>
      <c r="G302" s="6"/>
      <c r="H302" s="6" t="s">
        <v>25</v>
      </c>
      <c r="I302" s="6" t="s">
        <v>410</v>
      </c>
      <c r="J302" s="6" t="s">
        <v>51</v>
      </c>
      <c r="K302" s="6" t="s">
        <v>52</v>
      </c>
      <c r="L302" s="6" t="s">
        <v>83</v>
      </c>
      <c r="M302" s="6" t="s">
        <v>473</v>
      </c>
      <c r="N302" s="6" t="s">
        <v>1078</v>
      </c>
      <c r="O302" s="6" t="s">
        <v>33</v>
      </c>
      <c r="P302" s="1" t="str">
        <f aca="false">IF(H302="Yes",IF(J302="MLS","Pro - MLS",IF(J302="MLS NEXT Pro","Pro - MLS NEXT Pro",IF(J302="USL Championship","Pro - USL Championship",IF(J302="USL League One","Pro - USL League One","Pro - Other")))),IF(H302="No",IF(K302="Amateur / Pre-Professional","Amateur / Pre-Professional","Returned to College"),"Unknown"))</f>
        <v>Returned to College</v>
      </c>
      <c r="Q302" s="1" t="str">
        <f aca="false">IF(E302="Yes","Yes","No")</f>
        <v>No</v>
      </c>
      <c r="R302" s="1" t="str">
        <f aca="false">IF(H302="Yes","Yes","No")</f>
        <v>No</v>
      </c>
      <c r="S302" s="2" t="s">
        <v>475</v>
      </c>
      <c r="T302" s="2" t="s">
        <v>35</v>
      </c>
      <c r="U302" s="2" t="s">
        <v>36</v>
      </c>
    </row>
    <row r="303" customFormat="false" ht="27.75" hidden="false" customHeight="true" outlineLevel="0" collapsed="false">
      <c r="A303" s="6" t="s">
        <v>1079</v>
      </c>
      <c r="B303" s="6" t="s">
        <v>48</v>
      </c>
      <c r="C303" s="6" t="s">
        <v>280</v>
      </c>
      <c r="D303" s="6"/>
      <c r="E303" s="6" t="s">
        <v>26</v>
      </c>
      <c r="F303" s="6" t="n">
        <v>87</v>
      </c>
      <c r="G303" s="6" t="s">
        <v>521</v>
      </c>
      <c r="H303" s="6" t="s">
        <v>25</v>
      </c>
      <c r="I303" s="6" t="s">
        <v>282</v>
      </c>
      <c r="J303" s="6" t="s">
        <v>51</v>
      </c>
      <c r="K303" s="6" t="s">
        <v>425</v>
      </c>
      <c r="L303" s="6" t="s">
        <v>83</v>
      </c>
      <c r="M303" s="6" t="s">
        <v>133</v>
      </c>
      <c r="N303" s="6" t="s">
        <v>70</v>
      </c>
      <c r="O303" s="6" t="s">
        <v>71</v>
      </c>
      <c r="P303" s="1" t="str">
        <f aca="false">IF(H303="Yes",IF(J303="MLS","Pro - MLS",IF(J303="MLS NEXT Pro","Pro - MLS NEXT Pro",IF(J303="USL Championship","Pro - USL Championship",IF(J303="USL League One","Pro - USL League One","Pro - Other")))),IF(H303="No",IF(K303="Amateur / Pre-Professional","Amateur / Pre-Professional","Returned to College"),"Unknown"))</f>
        <v>Returned to College</v>
      </c>
      <c r="Q303" s="1" t="str">
        <f aca="false">IF(E303="Yes","Yes","No")</f>
        <v>Yes</v>
      </c>
      <c r="R303" s="1" t="str">
        <f aca="false">IF(H303="Yes","Yes","No")</f>
        <v>No</v>
      </c>
      <c r="U303" s="2" t="s">
        <v>56</v>
      </c>
    </row>
    <row r="304" customFormat="false" ht="15" hidden="false" customHeight="true" outlineLevel="0" collapsed="false">
      <c r="A304" s="6" t="s">
        <v>1080</v>
      </c>
      <c r="B304" s="6" t="s">
        <v>63</v>
      </c>
      <c r="C304" s="6" t="s">
        <v>334</v>
      </c>
      <c r="D304" s="6"/>
      <c r="E304" s="6" t="s">
        <v>25</v>
      </c>
      <c r="F304" s="6"/>
      <c r="G304" s="6"/>
      <c r="H304" s="6"/>
      <c r="I304" s="6"/>
      <c r="J304" s="6"/>
      <c r="K304" s="6" t="s">
        <v>88</v>
      </c>
      <c r="L304" s="6" t="s">
        <v>30</v>
      </c>
      <c r="M304" s="6"/>
      <c r="N304" s="6"/>
      <c r="O304" s="6" t="s">
        <v>71</v>
      </c>
      <c r="P304" s="1" t="str">
        <f aca="false">IF(H304="Yes",IF(J304="MLS","Pro - MLS",IF(J304="MLS NEXT Pro","Pro - MLS NEXT Pro",IF(J304="USL Championship","Pro - USL Championship",IF(J304="USL League One","Pro - USL League One","Pro - Other")))),IF(H304="No",IF(K304="Amateur / Pre-Professional","Amateur / Pre-Professional","Returned to College"),"Unknown"))</f>
        <v>Unknown</v>
      </c>
      <c r="Q304" s="1" t="str">
        <f aca="false">IF(E304="Yes","Yes","No")</f>
        <v>No</v>
      </c>
      <c r="R304" s="1" t="str">
        <f aca="false">IF(H304="Yes","Yes","No")</f>
        <v>No</v>
      </c>
      <c r="S304" s="2" t="s">
        <v>338</v>
      </c>
      <c r="T304" s="2" t="s">
        <v>35</v>
      </c>
      <c r="U304" s="2" t="s">
        <v>36</v>
      </c>
    </row>
    <row r="305" customFormat="false" ht="27.75" hidden="false" customHeight="true" outlineLevel="0" collapsed="false">
      <c r="A305" s="6" t="s">
        <v>1081</v>
      </c>
      <c r="B305" s="6" t="s">
        <v>22</v>
      </c>
      <c r="C305" s="6" t="s">
        <v>447</v>
      </c>
      <c r="D305" s="6"/>
      <c r="E305" s="6" t="s">
        <v>26</v>
      </c>
      <c r="F305" s="6" t="n">
        <v>61</v>
      </c>
      <c r="G305" s="6" t="s">
        <v>121</v>
      </c>
      <c r="H305" s="6" t="s">
        <v>25</v>
      </c>
      <c r="I305" s="6" t="s">
        <v>81</v>
      </c>
      <c r="J305" s="6" t="s">
        <v>51</v>
      </c>
      <c r="K305" s="6" t="s">
        <v>425</v>
      </c>
      <c r="L305" s="6" t="s">
        <v>53</v>
      </c>
      <c r="M305" s="6" t="s">
        <v>133</v>
      </c>
      <c r="N305" s="6" t="s">
        <v>70</v>
      </c>
      <c r="O305" s="6" t="s">
        <v>71</v>
      </c>
      <c r="P305" s="1" t="str">
        <f aca="false">IF(H305="Yes",IF(J305="MLS","Pro - MLS",IF(J305="MLS NEXT Pro","Pro - MLS NEXT Pro",IF(J305="USL Championship","Pro - USL Championship",IF(J305="USL League One","Pro - USL League One","Pro - Other")))),IF(H305="No",IF(K305="Amateur / Pre-Professional","Amateur / Pre-Professional","Returned to College"),"Unknown"))</f>
        <v>Returned to College</v>
      </c>
      <c r="Q305" s="1" t="str">
        <f aca="false">IF(E305="Yes","Yes","No")</f>
        <v>Yes</v>
      </c>
      <c r="R305" s="1" t="str">
        <f aca="false">IF(H305="Yes","Yes","No")</f>
        <v>No</v>
      </c>
      <c r="U305" s="2" t="s">
        <v>56</v>
      </c>
    </row>
    <row r="306" customFormat="false" ht="15" hidden="false" customHeight="true" outlineLevel="0" collapsed="false">
      <c r="A306" s="6" t="s">
        <v>1082</v>
      </c>
      <c r="B306" s="6" t="s">
        <v>22</v>
      </c>
      <c r="C306" s="6" t="s">
        <v>1083</v>
      </c>
      <c r="D306" s="6"/>
      <c r="E306" s="6" t="s">
        <v>25</v>
      </c>
      <c r="F306" s="6"/>
      <c r="G306" s="6"/>
      <c r="H306" s="6"/>
      <c r="I306" s="6"/>
      <c r="J306" s="6"/>
      <c r="K306" s="6" t="s">
        <v>88</v>
      </c>
      <c r="L306" s="6" t="s">
        <v>30</v>
      </c>
      <c r="M306" s="6"/>
      <c r="N306" s="6"/>
      <c r="O306" s="6" t="s">
        <v>71</v>
      </c>
      <c r="P306" s="1" t="str">
        <f aca="false">IF(H306="Yes",IF(J306="MLS","Pro - MLS",IF(J306="MLS NEXT Pro","Pro - MLS NEXT Pro",IF(J306="USL Championship","Pro - USL Championship",IF(J306="USL League One","Pro - USL League One","Pro - Other")))),IF(H306="No",IF(K306="Amateur / Pre-Professional","Amateur / Pre-Professional","Returned to College"),"Unknown"))</f>
        <v>Unknown</v>
      </c>
      <c r="Q306" s="1" t="str">
        <f aca="false">IF(E306="Yes","Yes","No")</f>
        <v>No</v>
      </c>
      <c r="R306" s="1" t="str">
        <f aca="false">IF(H306="Yes","Yes","No")</f>
        <v>No</v>
      </c>
      <c r="S306" s="2" t="s">
        <v>1084</v>
      </c>
      <c r="T306" s="2" t="s">
        <v>35</v>
      </c>
      <c r="U306" s="2" t="s">
        <v>1085</v>
      </c>
    </row>
    <row r="307" customFormat="false" ht="27.75" hidden="false" customHeight="true" outlineLevel="0" collapsed="false">
      <c r="A307" s="6" t="s">
        <v>1086</v>
      </c>
      <c r="B307" s="6" t="s">
        <v>63</v>
      </c>
      <c r="C307" s="6" t="s">
        <v>1087</v>
      </c>
      <c r="D307" s="6"/>
      <c r="E307" s="6" t="s">
        <v>26</v>
      </c>
      <c r="F307" s="6" t="n">
        <v>40</v>
      </c>
      <c r="G307" s="6" t="s">
        <v>271</v>
      </c>
      <c r="H307" s="6" t="s">
        <v>26</v>
      </c>
      <c r="I307" s="6" t="s">
        <v>543</v>
      </c>
      <c r="J307" s="6" t="s">
        <v>76</v>
      </c>
      <c r="K307" s="6" t="s">
        <v>29</v>
      </c>
      <c r="L307" s="6" t="s">
        <v>83</v>
      </c>
      <c r="M307" s="6" t="s">
        <v>133</v>
      </c>
      <c r="N307" s="6" t="s">
        <v>70</v>
      </c>
      <c r="O307" s="6" t="s">
        <v>71</v>
      </c>
      <c r="P307" s="1" t="str">
        <f aca="false">IF(H307="Yes",IF(J307="MLS","Pro - MLS",IF(J307="MLS NEXT Pro","Pro - MLS NEXT Pro",IF(J307="USL Championship","Pro - USL Championship",IF(J307="USL League One","Pro - USL League One","Pro - Other")))),IF(H307="No",IF(K307="Amateur / Pre-Professional","Amateur / Pre-Professional","Returned to College"),"Unknown"))</f>
        <v>Pro - MLS NEXT Pro</v>
      </c>
      <c r="Q307" s="1" t="str">
        <f aca="false">IF(E307="Yes","Yes","No")</f>
        <v>Yes</v>
      </c>
      <c r="R307" s="1" t="str">
        <f aca="false">IF(H307="Yes","Yes","No")</f>
        <v>Yes</v>
      </c>
      <c r="U307" s="2" t="s">
        <v>56</v>
      </c>
    </row>
    <row r="308" customFormat="false" ht="27.75" hidden="false" customHeight="true" outlineLevel="0" collapsed="false">
      <c r="A308" s="6" t="s">
        <v>1088</v>
      </c>
      <c r="B308" s="6" t="s">
        <v>48</v>
      </c>
      <c r="C308" s="6" t="s">
        <v>315</v>
      </c>
      <c r="D308" s="6" t="s">
        <v>997</v>
      </c>
      <c r="E308" s="6" t="s">
        <v>26</v>
      </c>
      <c r="F308" s="6" t="n">
        <v>66</v>
      </c>
      <c r="G308" s="6" t="s">
        <v>271</v>
      </c>
      <c r="H308" s="6" t="s">
        <v>25</v>
      </c>
      <c r="I308" s="6" t="s">
        <v>179</v>
      </c>
      <c r="J308" s="6" t="s">
        <v>51</v>
      </c>
      <c r="K308" s="6" t="s">
        <v>425</v>
      </c>
      <c r="L308" s="6" t="s">
        <v>53</v>
      </c>
      <c r="M308" s="6" t="s">
        <v>133</v>
      </c>
      <c r="N308" s="6" t="s">
        <v>70</v>
      </c>
      <c r="O308" s="6" t="s">
        <v>71</v>
      </c>
      <c r="P308" s="1" t="str">
        <f aca="false">IF(H308="Yes",IF(J308="MLS","Pro - MLS",IF(J308="MLS NEXT Pro","Pro - MLS NEXT Pro",IF(J308="USL Championship","Pro - USL Championship",IF(J308="USL League One","Pro - USL League One","Pro - Other")))),IF(H308="No",IF(K308="Amateur / Pre-Professional","Amateur / Pre-Professional","Returned to College"),"Unknown"))</f>
        <v>Returned to College</v>
      </c>
      <c r="Q308" s="1" t="str">
        <f aca="false">IF(E308="Yes","Yes","No")</f>
        <v>Yes</v>
      </c>
      <c r="R308" s="1" t="str">
        <f aca="false">IF(H308="Yes","Yes","No")</f>
        <v>No</v>
      </c>
      <c r="U308" s="2" t="s">
        <v>56</v>
      </c>
    </row>
    <row r="309" customFormat="false" ht="27.75" hidden="false" customHeight="true" outlineLevel="0" collapsed="false">
      <c r="A309" s="6" t="s">
        <v>1089</v>
      </c>
      <c r="B309" s="6" t="s">
        <v>63</v>
      </c>
      <c r="C309" s="6" t="s">
        <v>1090</v>
      </c>
      <c r="D309" s="6" t="s">
        <v>1091</v>
      </c>
      <c r="E309" s="6" t="s">
        <v>25</v>
      </c>
      <c r="F309" s="6"/>
      <c r="G309" s="6"/>
      <c r="H309" s="6"/>
      <c r="I309" s="6"/>
      <c r="J309" s="6"/>
      <c r="K309" s="6" t="s">
        <v>88</v>
      </c>
      <c r="L309" s="6" t="s">
        <v>30</v>
      </c>
      <c r="M309" s="6"/>
      <c r="N309" s="6"/>
      <c r="O309" s="6" t="s">
        <v>71</v>
      </c>
      <c r="P309" s="1" t="str">
        <f aca="false">IF(H309="Yes",IF(J309="MLS","Pro - MLS",IF(J309="MLS NEXT Pro","Pro - MLS NEXT Pro",IF(J309="USL Championship","Pro - USL Championship",IF(J309="USL League One","Pro - USL League One","Pro - Other")))),IF(H309="No",IF(K309="Amateur / Pre-Professional","Amateur / Pre-Professional","Returned to College"),"Unknown"))</f>
        <v>Unknown</v>
      </c>
      <c r="Q309" s="1" t="str">
        <f aca="false">IF(E309="Yes","Yes","No")</f>
        <v>No</v>
      </c>
      <c r="R309" s="1" t="str">
        <f aca="false">IF(H309="Yes","Yes","No")</f>
        <v>No</v>
      </c>
      <c r="S309" s="2" t="s">
        <v>1092</v>
      </c>
      <c r="T309" s="2" t="s">
        <v>35</v>
      </c>
      <c r="U309" s="2" t="s">
        <v>1093</v>
      </c>
    </row>
    <row r="310" customFormat="false" ht="15" hidden="false" customHeight="true" outlineLevel="0" collapsed="false">
      <c r="A310" s="6" t="s">
        <v>1094</v>
      </c>
      <c r="B310" s="6" t="s">
        <v>48</v>
      </c>
      <c r="C310" s="6" t="s">
        <v>334</v>
      </c>
      <c r="D310" s="6"/>
      <c r="E310" s="6" t="s">
        <v>25</v>
      </c>
      <c r="F310" s="6"/>
      <c r="G310" s="6"/>
      <c r="H310" s="6"/>
      <c r="I310" s="6"/>
      <c r="J310" s="6"/>
      <c r="K310" s="6" t="s">
        <v>88</v>
      </c>
      <c r="L310" s="6" t="s">
        <v>30</v>
      </c>
      <c r="M310" s="6"/>
      <c r="N310" s="6"/>
      <c r="O310" s="6" t="s">
        <v>71</v>
      </c>
      <c r="P310" s="1" t="str">
        <f aca="false">IF(H310="Yes",IF(J310="MLS","Pro - MLS",IF(J310="MLS NEXT Pro","Pro - MLS NEXT Pro",IF(J310="USL Championship","Pro - USL Championship",IF(J310="USL League One","Pro - USL League One","Pro - Other")))),IF(H310="No",IF(K310="Amateur / Pre-Professional","Amateur / Pre-Professional","Returned to College"),"Unknown"))</f>
        <v>Unknown</v>
      </c>
      <c r="Q310" s="1" t="str">
        <f aca="false">IF(E310="Yes","Yes","No")</f>
        <v>No</v>
      </c>
      <c r="R310" s="1" t="str">
        <f aca="false">IF(H310="Yes","Yes","No")</f>
        <v>No</v>
      </c>
      <c r="S310" s="2" t="s">
        <v>338</v>
      </c>
      <c r="T310" s="2" t="s">
        <v>35</v>
      </c>
      <c r="U310" s="2" t="s">
        <v>36</v>
      </c>
    </row>
    <row r="311" customFormat="false" ht="15" hidden="false" customHeight="true" outlineLevel="0" collapsed="false">
      <c r="A311" s="6" t="s">
        <v>1095</v>
      </c>
      <c r="B311" s="6" t="s">
        <v>63</v>
      </c>
      <c r="C311" s="6" t="s">
        <v>234</v>
      </c>
      <c r="D311" s="6" t="s">
        <v>271</v>
      </c>
      <c r="E311" s="6" t="s">
        <v>25</v>
      </c>
      <c r="F311" s="6"/>
      <c r="G311" s="6"/>
      <c r="H311" s="6"/>
      <c r="I311" s="6"/>
      <c r="J311" s="6"/>
      <c r="K311" s="6" t="s">
        <v>88</v>
      </c>
      <c r="L311" s="6" t="s">
        <v>43</v>
      </c>
      <c r="M311" s="6"/>
      <c r="N311" s="6"/>
      <c r="O311" s="6" t="s">
        <v>71</v>
      </c>
      <c r="P311" s="1" t="str">
        <f aca="false">IF(H311="Yes",IF(J311="MLS","Pro - MLS",IF(J311="MLS NEXT Pro","Pro - MLS NEXT Pro",IF(J311="USL Championship","Pro - USL Championship",IF(J311="USL League One","Pro - USL League One","Pro - Other")))),IF(H311="No",IF(K311="Amateur / Pre-Professional","Amateur / Pre-Professional","Returned to College"),"Unknown"))</f>
        <v>Unknown</v>
      </c>
      <c r="Q311" s="1" t="str">
        <f aca="false">IF(E311="Yes","Yes","No")</f>
        <v>No</v>
      </c>
      <c r="R311" s="1" t="str">
        <f aca="false">IF(H311="Yes","Yes","No")</f>
        <v>No</v>
      </c>
      <c r="S311" s="2" t="s">
        <v>1096</v>
      </c>
      <c r="T311" s="2" t="s">
        <v>35</v>
      </c>
      <c r="U311" s="2" t="s">
        <v>1097</v>
      </c>
    </row>
    <row r="312" customFormat="false" ht="15" hidden="false" customHeight="true" outlineLevel="0" collapsed="false">
      <c r="A312" s="6" t="s">
        <v>1098</v>
      </c>
      <c r="B312" s="6" t="s">
        <v>48</v>
      </c>
      <c r="C312" s="6" t="s">
        <v>953</v>
      </c>
      <c r="D312" s="6"/>
      <c r="E312" s="6" t="s">
        <v>25</v>
      </c>
      <c r="F312" s="6"/>
      <c r="G312" s="6"/>
      <c r="H312" s="6" t="s">
        <v>25</v>
      </c>
      <c r="I312" s="6" t="s">
        <v>953</v>
      </c>
      <c r="J312" s="6" t="s">
        <v>51</v>
      </c>
      <c r="K312" s="6" t="s">
        <v>52</v>
      </c>
      <c r="L312" s="6" t="s">
        <v>83</v>
      </c>
      <c r="M312" s="6" t="s">
        <v>1099</v>
      </c>
      <c r="N312" s="6" t="s">
        <v>1100</v>
      </c>
      <c r="O312" s="6" t="s">
        <v>33</v>
      </c>
      <c r="P312" s="1" t="str">
        <f aca="false">IF(H312="Yes",IF(J312="MLS","Pro - MLS",IF(J312="MLS NEXT Pro","Pro - MLS NEXT Pro",IF(J312="USL Championship","Pro - USL Championship",IF(J312="USL League One","Pro - USL League One","Pro - Other")))),IF(H312="No",IF(K312="Amateur / Pre-Professional","Amateur / Pre-Professional","Returned to College"),"Unknown"))</f>
        <v>Returned to College</v>
      </c>
      <c r="Q312" s="1" t="str">
        <f aca="false">IF(E312="Yes","Yes","No")</f>
        <v>No</v>
      </c>
      <c r="R312" s="1" t="str">
        <f aca="false">IF(H312="Yes","Yes","No")</f>
        <v>No</v>
      </c>
      <c r="S312" s="2" t="s">
        <v>1101</v>
      </c>
      <c r="T312" s="2" t="s">
        <v>35</v>
      </c>
      <c r="U312" s="2" t="s">
        <v>36</v>
      </c>
    </row>
    <row r="313" customFormat="false" ht="15" hidden="false" customHeight="true" outlineLevel="0" collapsed="false">
      <c r="A313" s="6" t="s">
        <v>1102</v>
      </c>
      <c r="B313" s="6" t="s">
        <v>48</v>
      </c>
      <c r="C313" s="6" t="s">
        <v>666</v>
      </c>
      <c r="D313" s="6" t="s">
        <v>210</v>
      </c>
      <c r="E313" s="6" t="s">
        <v>25</v>
      </c>
      <c r="F313" s="6"/>
      <c r="G313" s="6"/>
      <c r="H313" s="6"/>
      <c r="I313" s="6"/>
      <c r="J313" s="6"/>
      <c r="K313" s="6" t="s">
        <v>88</v>
      </c>
      <c r="L313" s="6" t="s">
        <v>30</v>
      </c>
      <c r="M313" s="6"/>
      <c r="N313" s="6"/>
      <c r="O313" s="6" t="s">
        <v>71</v>
      </c>
      <c r="P313" s="1" t="str">
        <f aca="false">IF(H313="Yes",IF(J313="MLS","Pro - MLS",IF(J313="MLS NEXT Pro","Pro - MLS NEXT Pro",IF(J313="USL Championship","Pro - USL Championship",IF(J313="USL League One","Pro - USL League One","Pro - Other")))),IF(H313="No",IF(K313="Amateur / Pre-Professional","Amateur / Pre-Professional","Returned to College"),"Unknown"))</f>
        <v>Unknown</v>
      </c>
      <c r="Q313" s="1" t="str">
        <f aca="false">IF(E313="Yes","Yes","No")</f>
        <v>No</v>
      </c>
      <c r="R313" s="1" t="str">
        <f aca="false">IF(H313="Yes","Yes","No")</f>
        <v>No</v>
      </c>
      <c r="S313" s="2" t="s">
        <v>1103</v>
      </c>
      <c r="T313" s="2" t="s">
        <v>35</v>
      </c>
      <c r="U313" s="2" t="s">
        <v>36</v>
      </c>
    </row>
    <row r="314" customFormat="false" ht="27.75" hidden="false" customHeight="true" outlineLevel="0" collapsed="false">
      <c r="A314" s="6" t="s">
        <v>1104</v>
      </c>
      <c r="B314" s="6" t="s">
        <v>48</v>
      </c>
      <c r="C314" s="6" t="s">
        <v>1105</v>
      </c>
      <c r="D314" s="6"/>
      <c r="E314" s="6" t="s">
        <v>25</v>
      </c>
      <c r="F314" s="6"/>
      <c r="G314" s="6"/>
      <c r="H314" s="6" t="s">
        <v>25</v>
      </c>
      <c r="I314" s="6" t="s">
        <v>1105</v>
      </c>
      <c r="J314" s="6" t="s">
        <v>51</v>
      </c>
      <c r="K314" s="6" t="s">
        <v>52</v>
      </c>
      <c r="L314" s="6" t="s">
        <v>83</v>
      </c>
      <c r="M314" s="6" t="s">
        <v>1106</v>
      </c>
      <c r="N314" s="6" t="s">
        <v>1107</v>
      </c>
      <c r="O314" s="6" t="s">
        <v>33</v>
      </c>
      <c r="P314" s="1" t="str">
        <f aca="false">IF(H314="Yes",IF(J314="MLS","Pro - MLS",IF(J314="MLS NEXT Pro","Pro - MLS NEXT Pro",IF(J314="USL Championship","Pro - USL Championship",IF(J314="USL League One","Pro - USL League One","Pro - Other")))),IF(H314="No",IF(K314="Amateur / Pre-Professional","Amateur / Pre-Professional","Returned to College"),"Unknown"))</f>
        <v>Returned to College</v>
      </c>
      <c r="Q314" s="1" t="str">
        <f aca="false">IF(E314="Yes","Yes","No")</f>
        <v>No</v>
      </c>
      <c r="R314" s="1" t="str">
        <f aca="false">IF(H314="Yes","Yes","No")</f>
        <v>No</v>
      </c>
      <c r="S314" s="2" t="s">
        <v>1108</v>
      </c>
      <c r="T314" s="2" t="s">
        <v>35</v>
      </c>
      <c r="U314" s="2" t="s">
        <v>36</v>
      </c>
    </row>
    <row r="315" customFormat="false" ht="15" hidden="false" customHeight="true" outlineLevel="0" collapsed="false">
      <c r="A315" s="6" t="s">
        <v>1109</v>
      </c>
      <c r="B315" s="6" t="s">
        <v>48</v>
      </c>
      <c r="C315" s="6" t="s">
        <v>174</v>
      </c>
      <c r="D315" s="6"/>
      <c r="E315" s="6" t="s">
        <v>25</v>
      </c>
      <c r="F315" s="6"/>
      <c r="G315" s="6"/>
      <c r="H315" s="6" t="s">
        <v>26</v>
      </c>
      <c r="I315" s="6" t="s">
        <v>1110</v>
      </c>
      <c r="J315" s="6" t="s">
        <v>28</v>
      </c>
      <c r="K315" s="6" t="s">
        <v>29</v>
      </c>
      <c r="L315" s="6" t="s">
        <v>92</v>
      </c>
      <c r="M315" s="6" t="s">
        <v>1111</v>
      </c>
      <c r="N315" s="6" t="s">
        <v>1112</v>
      </c>
      <c r="O315" s="6" t="s">
        <v>33</v>
      </c>
      <c r="P315" s="1" t="str">
        <f aca="false">IF(H315="Yes",IF(J315="MLS","Pro - MLS",IF(J315="MLS NEXT Pro","Pro - MLS NEXT Pro",IF(J315="USL Championship","Pro - USL Championship",IF(J315="USL League One","Pro - USL League One","Pro - Other")))),IF(H315="No",IF(K315="Amateur / Pre-Professional","Amateur / Pre-Professional","Returned to College"),"Unknown"))</f>
        <v>Pro - USL League One</v>
      </c>
      <c r="Q315" s="1" t="str">
        <f aca="false">IF(E315="Yes","Yes","No")</f>
        <v>No</v>
      </c>
      <c r="R315" s="1" t="str">
        <f aca="false">IF(H315="Yes","Yes","No")</f>
        <v>Yes</v>
      </c>
      <c r="S315" s="2" t="s">
        <v>664</v>
      </c>
      <c r="T315" s="2" t="s">
        <v>35</v>
      </c>
      <c r="U315" s="2" t="s">
        <v>36</v>
      </c>
    </row>
    <row r="316" customFormat="false" ht="15" hidden="false" customHeight="true" outlineLevel="0" collapsed="false">
      <c r="A316" s="6" t="s">
        <v>1113</v>
      </c>
      <c r="B316" s="6" t="s">
        <v>22</v>
      </c>
      <c r="C316" s="6" t="s">
        <v>1114</v>
      </c>
      <c r="D316" s="6"/>
      <c r="E316" s="6" t="s">
        <v>25</v>
      </c>
      <c r="F316" s="6"/>
      <c r="G316" s="6"/>
      <c r="H316" s="6" t="s">
        <v>25</v>
      </c>
      <c r="I316" s="6" t="s">
        <v>81</v>
      </c>
      <c r="J316" s="6" t="s">
        <v>51</v>
      </c>
      <c r="K316" s="6" t="s">
        <v>52</v>
      </c>
      <c r="L316" s="6" t="s">
        <v>83</v>
      </c>
      <c r="M316" s="6" t="s">
        <v>225</v>
      </c>
      <c r="N316" s="6" t="s">
        <v>1115</v>
      </c>
      <c r="O316" s="6" t="s">
        <v>33</v>
      </c>
      <c r="P316" s="1" t="str">
        <f aca="false">IF(H316="Yes",IF(J316="MLS","Pro - MLS",IF(J316="MLS NEXT Pro","Pro - MLS NEXT Pro",IF(J316="USL Championship","Pro - USL Championship",IF(J316="USL League One","Pro - USL League One","Pro - Other")))),IF(H316="No",IF(K316="Amateur / Pre-Professional","Amateur / Pre-Professional","Returned to College"),"Unknown"))</f>
        <v>Returned to College</v>
      </c>
      <c r="Q316" s="1" t="str">
        <f aca="false">IF(E316="Yes","Yes","No")</f>
        <v>No</v>
      </c>
      <c r="R316" s="1" t="str">
        <f aca="false">IF(H316="Yes","Yes","No")</f>
        <v>No</v>
      </c>
      <c r="S316" s="2" t="s">
        <v>1116</v>
      </c>
      <c r="T316" s="2" t="s">
        <v>35</v>
      </c>
      <c r="U316" s="2" t="s">
        <v>36</v>
      </c>
    </row>
    <row r="317" customFormat="false" ht="27.75" hidden="false" customHeight="true" outlineLevel="0" collapsed="false">
      <c r="A317" s="6" t="s">
        <v>1117</v>
      </c>
      <c r="B317" s="6" t="s">
        <v>38</v>
      </c>
      <c r="C317" s="6" t="s">
        <v>1118</v>
      </c>
      <c r="D317" s="6" t="s">
        <v>612</v>
      </c>
      <c r="E317" s="6" t="s">
        <v>25</v>
      </c>
      <c r="F317" s="6"/>
      <c r="G317" s="6"/>
      <c r="H317" s="6"/>
      <c r="I317" s="6"/>
      <c r="J317" s="6"/>
      <c r="K317" s="6" t="s">
        <v>88</v>
      </c>
      <c r="L317" s="6" t="s">
        <v>92</v>
      </c>
      <c r="M317" s="6"/>
      <c r="N317" s="6"/>
      <c r="O317" s="6" t="s">
        <v>71</v>
      </c>
      <c r="P317" s="1" t="str">
        <f aca="false">IF(H317="Yes",IF(J317="MLS","Pro - MLS",IF(J317="MLS NEXT Pro","Pro - MLS NEXT Pro",IF(J317="USL Championship","Pro - USL Championship",IF(J317="USL League One","Pro - USL League One","Pro - Other")))),IF(H317="No",IF(K317="Amateur / Pre-Professional","Amateur / Pre-Professional","Returned to College"),"Unknown"))</f>
        <v>Unknown</v>
      </c>
      <c r="Q317" s="1" t="str">
        <f aca="false">IF(E317="Yes","Yes","No")</f>
        <v>No</v>
      </c>
      <c r="R317" s="1" t="str">
        <f aca="false">IF(H317="Yes","Yes","No")</f>
        <v>No</v>
      </c>
      <c r="S317" s="2" t="s">
        <v>1119</v>
      </c>
      <c r="T317" s="2" t="s">
        <v>35</v>
      </c>
      <c r="U317" s="2" t="s">
        <v>36</v>
      </c>
    </row>
    <row r="318" customFormat="false" ht="15" hidden="false" customHeight="true" outlineLevel="0" collapsed="false">
      <c r="A318" s="6" t="s">
        <v>1120</v>
      </c>
      <c r="B318" s="6" t="s">
        <v>63</v>
      </c>
      <c r="C318" s="6" t="s">
        <v>241</v>
      </c>
      <c r="D318" s="6"/>
      <c r="E318" s="6" t="s">
        <v>25</v>
      </c>
      <c r="F318" s="6"/>
      <c r="G318" s="6"/>
      <c r="H318" s="6" t="s">
        <v>26</v>
      </c>
      <c r="I318" s="6" t="s">
        <v>427</v>
      </c>
      <c r="J318" s="6" t="s">
        <v>76</v>
      </c>
      <c r="K318" s="6" t="s">
        <v>29</v>
      </c>
      <c r="L318" s="6" t="s">
        <v>30</v>
      </c>
      <c r="M318" s="6" t="s">
        <v>1121</v>
      </c>
      <c r="N318" s="6" t="s">
        <v>1122</v>
      </c>
      <c r="O318" s="6" t="s">
        <v>33</v>
      </c>
      <c r="P318" s="1" t="str">
        <f aca="false">IF(H318="Yes",IF(J318="MLS","Pro - MLS",IF(J318="MLS NEXT Pro","Pro - MLS NEXT Pro",IF(J318="USL Championship","Pro - USL Championship",IF(J318="USL League One","Pro - USL League One","Pro - Other")))),IF(H318="No",IF(K318="Amateur / Pre-Professional","Amateur / Pre-Professional","Returned to College"),"Unknown"))</f>
        <v>Pro - MLS NEXT Pro</v>
      </c>
      <c r="Q318" s="1" t="str">
        <f aca="false">IF(E318="Yes","Yes","No")</f>
        <v>No</v>
      </c>
      <c r="R318" s="1" t="str">
        <f aca="false">IF(H318="Yes","Yes","No")</f>
        <v>Yes</v>
      </c>
      <c r="S318" s="2" t="s">
        <v>295</v>
      </c>
      <c r="T318" s="2" t="s">
        <v>35</v>
      </c>
      <c r="U318" s="2" t="s">
        <v>36</v>
      </c>
    </row>
    <row r="319" customFormat="false" ht="15" hidden="false" customHeight="true" outlineLevel="0" collapsed="false">
      <c r="A319" s="6" t="s">
        <v>1123</v>
      </c>
      <c r="B319" s="6" t="s">
        <v>22</v>
      </c>
      <c r="C319" s="6" t="s">
        <v>1124</v>
      </c>
      <c r="D319" s="6"/>
      <c r="E319" s="6" t="s">
        <v>25</v>
      </c>
      <c r="F319" s="6"/>
      <c r="G319" s="6"/>
      <c r="H319" s="6"/>
      <c r="I319" s="6"/>
      <c r="J319" s="6"/>
      <c r="K319" s="6" t="s">
        <v>88</v>
      </c>
      <c r="L319" s="6" t="s">
        <v>436</v>
      </c>
      <c r="M319" s="6"/>
      <c r="N319" s="6"/>
      <c r="O319" s="6" t="s">
        <v>71</v>
      </c>
      <c r="P319" s="1" t="str">
        <f aca="false">IF(H319="Yes",IF(J319="MLS","Pro - MLS",IF(J319="MLS NEXT Pro","Pro - MLS NEXT Pro",IF(J319="USL Championship","Pro - USL Championship",IF(J319="USL League One","Pro - USL League One","Pro - Other")))),IF(H319="No",IF(K319="Amateur / Pre-Professional","Amateur / Pre-Professional","Returned to College"),"Unknown"))</f>
        <v>Unknown</v>
      </c>
      <c r="Q319" s="1" t="str">
        <f aca="false">IF(E319="Yes","Yes","No")</f>
        <v>No</v>
      </c>
      <c r="R319" s="1" t="str">
        <f aca="false">IF(H319="Yes","Yes","No")</f>
        <v>No</v>
      </c>
      <c r="T319" s="2" t="s">
        <v>437</v>
      </c>
      <c r="U319" s="2" t="s">
        <v>438</v>
      </c>
    </row>
    <row r="320" customFormat="false" ht="27.75" hidden="false" customHeight="true" outlineLevel="0" collapsed="false">
      <c r="A320" s="6" t="s">
        <v>1125</v>
      </c>
      <c r="B320" s="6" t="s">
        <v>63</v>
      </c>
      <c r="C320" s="6" t="s">
        <v>250</v>
      </c>
      <c r="D320" s="6"/>
      <c r="E320" s="6" t="s">
        <v>26</v>
      </c>
      <c r="F320" s="6" t="n">
        <v>44</v>
      </c>
      <c r="G320" s="6" t="s">
        <v>271</v>
      </c>
      <c r="H320" s="6" t="s">
        <v>26</v>
      </c>
      <c r="I320" s="6" t="s">
        <v>543</v>
      </c>
      <c r="J320" s="6" t="s">
        <v>76</v>
      </c>
      <c r="K320" s="6" t="s">
        <v>29</v>
      </c>
      <c r="L320" s="6" t="s">
        <v>30</v>
      </c>
      <c r="M320" s="6" t="s">
        <v>133</v>
      </c>
      <c r="N320" s="6" t="s">
        <v>70</v>
      </c>
      <c r="O320" s="6" t="s">
        <v>71</v>
      </c>
      <c r="P320" s="1" t="str">
        <f aca="false">IF(H320="Yes",IF(J320="MLS","Pro - MLS",IF(J320="MLS NEXT Pro","Pro - MLS NEXT Pro",IF(J320="USL Championship","Pro - USL Championship",IF(J320="USL League One","Pro - USL League One","Pro - Other")))),IF(H320="No",IF(K320="Amateur / Pre-Professional","Amateur / Pre-Professional","Returned to College"),"Unknown"))</f>
        <v>Pro - MLS NEXT Pro</v>
      </c>
      <c r="Q320" s="1" t="str">
        <f aca="false">IF(E320="Yes","Yes","No")</f>
        <v>Yes</v>
      </c>
      <c r="R320" s="1" t="str">
        <f aca="false">IF(H320="Yes","Yes","No")</f>
        <v>Yes</v>
      </c>
      <c r="U320" s="2" t="s">
        <v>56</v>
      </c>
    </row>
    <row r="321" customFormat="false" ht="15" hidden="false" customHeight="true" outlineLevel="0" collapsed="false">
      <c r="A321" s="6" t="s">
        <v>1126</v>
      </c>
      <c r="B321" s="6" t="s">
        <v>22</v>
      </c>
      <c r="C321" s="6" t="s">
        <v>1127</v>
      </c>
      <c r="D321" s="6" t="s">
        <v>499</v>
      </c>
      <c r="E321" s="6" t="s">
        <v>25</v>
      </c>
      <c r="F321" s="6"/>
      <c r="G321" s="6"/>
      <c r="H321" s="6"/>
      <c r="I321" s="6"/>
      <c r="J321" s="6"/>
      <c r="K321" s="6" t="s">
        <v>88</v>
      </c>
      <c r="L321" s="6" t="s">
        <v>83</v>
      </c>
      <c r="M321" s="6"/>
      <c r="N321" s="6"/>
      <c r="O321" s="6" t="s">
        <v>71</v>
      </c>
      <c r="P321" s="1" t="str">
        <f aca="false">IF(H321="Yes",IF(J321="MLS","Pro - MLS",IF(J321="MLS NEXT Pro","Pro - MLS NEXT Pro",IF(J321="USL Championship","Pro - USL Championship",IF(J321="USL League One","Pro - USL League One","Pro - Other")))),IF(H321="No",IF(K321="Amateur / Pre-Professional","Amateur / Pre-Professional","Returned to College"),"Unknown"))</f>
        <v>Unknown</v>
      </c>
      <c r="Q321" s="1" t="str">
        <f aca="false">IF(E321="Yes","Yes","No")</f>
        <v>No</v>
      </c>
      <c r="R321" s="1" t="str">
        <f aca="false">IF(H321="Yes","Yes","No")</f>
        <v>No</v>
      </c>
      <c r="S321" s="2" t="s">
        <v>1128</v>
      </c>
      <c r="T321" s="2" t="s">
        <v>35</v>
      </c>
      <c r="U321" s="2" t="s">
        <v>36</v>
      </c>
    </row>
    <row r="322" customFormat="false" ht="15" hidden="false" customHeight="true" outlineLevel="0" collapsed="false">
      <c r="A322" s="6" t="s">
        <v>1129</v>
      </c>
      <c r="B322" s="6" t="s">
        <v>48</v>
      </c>
      <c r="C322" s="6" t="s">
        <v>687</v>
      </c>
      <c r="D322" s="6"/>
      <c r="E322" s="6" t="s">
        <v>25</v>
      </c>
      <c r="F322" s="6"/>
      <c r="G322" s="6"/>
      <c r="H322" s="6" t="s">
        <v>25</v>
      </c>
      <c r="I322" s="6" t="s">
        <v>357</v>
      </c>
      <c r="J322" s="6" t="s">
        <v>51</v>
      </c>
      <c r="K322" s="6" t="s">
        <v>52</v>
      </c>
      <c r="L322" s="6" t="s">
        <v>795</v>
      </c>
      <c r="M322" s="6" t="s">
        <v>1130</v>
      </c>
      <c r="N322" s="6" t="s">
        <v>1131</v>
      </c>
      <c r="O322" s="6" t="s">
        <v>33</v>
      </c>
      <c r="P322" s="1" t="str">
        <f aca="false">IF(H322="Yes",IF(J322="MLS","Pro - MLS",IF(J322="MLS NEXT Pro","Pro - MLS NEXT Pro",IF(J322="USL Championship","Pro - USL Championship",IF(J322="USL League One","Pro - USL League One","Pro - Other")))),IF(H322="No",IF(K322="Amateur / Pre-Professional","Amateur / Pre-Professional","Returned to College"),"Unknown"))</f>
        <v>Returned to College</v>
      </c>
      <c r="Q322" s="1" t="str">
        <f aca="false">IF(E322="Yes","Yes","No")</f>
        <v>No</v>
      </c>
      <c r="R322" s="1" t="str">
        <f aca="false">IF(H322="Yes","Yes","No")</f>
        <v>No</v>
      </c>
      <c r="S322" s="2" t="s">
        <v>688</v>
      </c>
      <c r="T322" s="2" t="s">
        <v>35</v>
      </c>
      <c r="U322" s="2" t="s">
        <v>36</v>
      </c>
    </row>
    <row r="323" customFormat="false" ht="15" hidden="false" customHeight="true" outlineLevel="0" collapsed="false">
      <c r="A323" s="6" t="s">
        <v>1132</v>
      </c>
      <c r="B323" s="6" t="s">
        <v>48</v>
      </c>
      <c r="C323" s="6" t="s">
        <v>334</v>
      </c>
      <c r="D323" s="6"/>
      <c r="E323" s="6" t="s">
        <v>25</v>
      </c>
      <c r="F323" s="6"/>
      <c r="G323" s="6"/>
      <c r="H323" s="6" t="s">
        <v>25</v>
      </c>
      <c r="I323" s="6" t="s">
        <v>334</v>
      </c>
      <c r="J323" s="6" t="s">
        <v>51</v>
      </c>
      <c r="K323" s="6" t="s">
        <v>52</v>
      </c>
      <c r="L323" s="6" t="s">
        <v>83</v>
      </c>
      <c r="M323" s="6" t="s">
        <v>1133</v>
      </c>
      <c r="N323" s="6" t="s">
        <v>1134</v>
      </c>
      <c r="O323" s="6" t="s">
        <v>33</v>
      </c>
      <c r="P323" s="1" t="str">
        <f aca="false">IF(H323="Yes",IF(J323="MLS","Pro - MLS",IF(J323="MLS NEXT Pro","Pro - MLS NEXT Pro",IF(J323="USL Championship","Pro - USL Championship",IF(J323="USL League One","Pro - USL League One","Pro - Other")))),IF(H323="No",IF(K323="Amateur / Pre-Professional","Amateur / Pre-Professional","Returned to College"),"Unknown"))</f>
        <v>Returned to College</v>
      </c>
      <c r="Q323" s="1" t="str">
        <f aca="false">IF(E323="Yes","Yes","No")</f>
        <v>No</v>
      </c>
      <c r="R323" s="1" t="str">
        <f aca="false">IF(H323="Yes","Yes","No")</f>
        <v>No</v>
      </c>
      <c r="S323" s="2" t="s">
        <v>338</v>
      </c>
      <c r="T323" s="2" t="s">
        <v>35</v>
      </c>
      <c r="U323" s="2" t="s">
        <v>36</v>
      </c>
    </row>
    <row r="324" customFormat="false" ht="27.75" hidden="false" customHeight="true" outlineLevel="0" collapsed="false">
      <c r="A324" s="6" t="s">
        <v>1135</v>
      </c>
      <c r="B324" s="6" t="s">
        <v>63</v>
      </c>
      <c r="C324" s="6" t="s">
        <v>721</v>
      </c>
      <c r="D324" s="6"/>
      <c r="E324" s="6" t="s">
        <v>26</v>
      </c>
      <c r="F324" s="6" t="n">
        <v>57</v>
      </c>
      <c r="G324" s="6" t="s">
        <v>521</v>
      </c>
      <c r="H324" s="6" t="s">
        <v>26</v>
      </c>
      <c r="I324" s="6" t="s">
        <v>521</v>
      </c>
      <c r="J324" s="6" t="s">
        <v>67</v>
      </c>
      <c r="K324" s="6" t="s">
        <v>29</v>
      </c>
      <c r="L324" s="6" t="s">
        <v>30</v>
      </c>
      <c r="M324" s="6" t="s">
        <v>69</v>
      </c>
      <c r="N324" s="6" t="s">
        <v>70</v>
      </c>
      <c r="O324" s="6" t="s">
        <v>71</v>
      </c>
      <c r="P324" s="1" t="str">
        <f aca="false">IF(H324="Yes",IF(J324="MLS","Pro - MLS",IF(J324="MLS NEXT Pro","Pro - MLS NEXT Pro",IF(J324="USL Championship","Pro - USL Championship",IF(J324="USL League One","Pro - USL League One","Pro - Other")))),IF(H324="No",IF(K324="Amateur / Pre-Professional","Amateur / Pre-Professional","Returned to College"),"Unknown"))</f>
        <v>Pro - MLS</v>
      </c>
      <c r="Q324" s="1" t="str">
        <f aca="false">IF(E324="Yes","Yes","No")</f>
        <v>Yes</v>
      </c>
      <c r="R324" s="1" t="str">
        <f aca="false">IF(H324="Yes","Yes","No")</f>
        <v>Yes</v>
      </c>
      <c r="U324" s="2" t="s">
        <v>56</v>
      </c>
    </row>
    <row r="325" customFormat="false" ht="15" hidden="false" customHeight="true" outlineLevel="0" collapsed="false">
      <c r="A325" s="6" t="s">
        <v>1136</v>
      </c>
      <c r="B325" s="6" t="s">
        <v>22</v>
      </c>
      <c r="C325" s="6" t="s">
        <v>1137</v>
      </c>
      <c r="D325" s="6"/>
      <c r="E325" s="6" t="s">
        <v>25</v>
      </c>
      <c r="F325" s="6"/>
      <c r="G325" s="6"/>
      <c r="H325" s="6" t="s">
        <v>25</v>
      </c>
      <c r="I325" s="6" t="s">
        <v>1137</v>
      </c>
      <c r="J325" s="6" t="s">
        <v>51</v>
      </c>
      <c r="K325" s="6" t="s">
        <v>52</v>
      </c>
      <c r="L325" s="6" t="s">
        <v>53</v>
      </c>
      <c r="M325" s="6" t="s">
        <v>1138</v>
      </c>
      <c r="N325" s="6" t="s">
        <v>1139</v>
      </c>
      <c r="O325" s="6" t="s">
        <v>33</v>
      </c>
      <c r="P325" s="1" t="str">
        <f aca="false">IF(H325="Yes",IF(J325="MLS","Pro - MLS",IF(J325="MLS NEXT Pro","Pro - MLS NEXT Pro",IF(J325="USL Championship","Pro - USL Championship",IF(J325="USL League One","Pro - USL League One","Pro - Other")))),IF(H325="No",IF(K325="Amateur / Pre-Professional","Amateur / Pre-Professional","Returned to College"),"Unknown"))</f>
        <v>Returned to College</v>
      </c>
      <c r="Q325" s="1" t="str">
        <f aca="false">IF(E325="Yes","Yes","No")</f>
        <v>No</v>
      </c>
      <c r="R325" s="1" t="str">
        <f aca="false">IF(H325="Yes","Yes","No")</f>
        <v>No</v>
      </c>
      <c r="S325" s="2" t="s">
        <v>1140</v>
      </c>
      <c r="T325" s="2" t="s">
        <v>35</v>
      </c>
      <c r="U325" s="2" t="s">
        <v>36</v>
      </c>
    </row>
    <row r="326" customFormat="false" ht="15" hidden="false" customHeight="true" outlineLevel="0" collapsed="false">
      <c r="A326" s="6" t="s">
        <v>1141</v>
      </c>
      <c r="B326" s="6" t="s">
        <v>48</v>
      </c>
      <c r="C326" s="6" t="s">
        <v>250</v>
      </c>
      <c r="D326" s="6"/>
      <c r="E326" s="6" t="s">
        <v>25</v>
      </c>
      <c r="F326" s="6"/>
      <c r="G326" s="6"/>
      <c r="H326" s="6" t="s">
        <v>25</v>
      </c>
      <c r="I326" s="6" t="s">
        <v>250</v>
      </c>
      <c r="J326" s="6" t="s">
        <v>51</v>
      </c>
      <c r="K326" s="6" t="s">
        <v>52</v>
      </c>
      <c r="L326" s="6" t="s">
        <v>83</v>
      </c>
      <c r="M326" s="6" t="s">
        <v>382</v>
      </c>
      <c r="N326" s="6" t="s">
        <v>1142</v>
      </c>
      <c r="O326" s="6" t="s">
        <v>33</v>
      </c>
      <c r="P326" s="1" t="str">
        <f aca="false">IF(H326="Yes",IF(J326="MLS","Pro - MLS",IF(J326="MLS NEXT Pro","Pro - MLS NEXT Pro",IF(J326="USL Championship","Pro - USL Championship",IF(J326="USL League One","Pro - USL League One","Pro - Other")))),IF(H326="No",IF(K326="Amateur / Pre-Professional","Amateur / Pre-Professional","Returned to College"),"Unknown"))</f>
        <v>Returned to College</v>
      </c>
      <c r="Q326" s="1" t="str">
        <f aca="false">IF(E326="Yes","Yes","No")</f>
        <v>No</v>
      </c>
      <c r="R326" s="1" t="str">
        <f aca="false">IF(H326="Yes","Yes","No")</f>
        <v>No</v>
      </c>
      <c r="S326" s="2" t="s">
        <v>1143</v>
      </c>
      <c r="T326" s="2" t="s">
        <v>35</v>
      </c>
      <c r="U326" s="2" t="s">
        <v>36</v>
      </c>
    </row>
    <row r="327" customFormat="false" ht="15" hidden="false" customHeight="true" outlineLevel="0" collapsed="false">
      <c r="A327" s="6" t="s">
        <v>1144</v>
      </c>
      <c r="B327" s="6" t="s">
        <v>22</v>
      </c>
      <c r="C327" s="6" t="s">
        <v>420</v>
      </c>
      <c r="D327" s="6"/>
      <c r="E327" s="6" t="s">
        <v>25</v>
      </c>
      <c r="F327" s="6"/>
      <c r="G327" s="6"/>
      <c r="H327" s="6" t="s">
        <v>25</v>
      </c>
      <c r="I327" s="6" t="s">
        <v>420</v>
      </c>
      <c r="J327" s="6" t="s">
        <v>51</v>
      </c>
      <c r="K327" s="6" t="s">
        <v>52</v>
      </c>
      <c r="L327" s="6" t="s">
        <v>83</v>
      </c>
      <c r="M327" s="6" t="s">
        <v>1145</v>
      </c>
      <c r="N327" s="6" t="s">
        <v>1146</v>
      </c>
      <c r="O327" s="6" t="s">
        <v>33</v>
      </c>
      <c r="P327" s="1" t="str">
        <f aca="false">IF(H327="Yes",IF(J327="MLS","Pro - MLS",IF(J327="MLS NEXT Pro","Pro - MLS NEXT Pro",IF(J327="USL Championship","Pro - USL Championship",IF(J327="USL League One","Pro - USL League One","Pro - Other")))),IF(H327="No",IF(K327="Amateur / Pre-Professional","Amateur / Pre-Professional","Returned to College"),"Unknown"))</f>
        <v>Returned to College</v>
      </c>
      <c r="Q327" s="1" t="str">
        <f aca="false">IF(E327="Yes","Yes","No")</f>
        <v>No</v>
      </c>
      <c r="R327" s="1" t="str">
        <f aca="false">IF(H327="Yes","Yes","No")</f>
        <v>No</v>
      </c>
      <c r="S327" s="2" t="s">
        <v>423</v>
      </c>
      <c r="T327" s="2" t="s">
        <v>35</v>
      </c>
      <c r="U327" s="2" t="s">
        <v>36</v>
      </c>
    </row>
    <row r="328" customFormat="false" ht="15" hidden="false" customHeight="true" outlineLevel="0" collapsed="false">
      <c r="A328" s="6" t="s">
        <v>1147</v>
      </c>
      <c r="B328" s="6" t="s">
        <v>48</v>
      </c>
      <c r="C328" s="6" t="s">
        <v>410</v>
      </c>
      <c r="D328" s="6" t="s">
        <v>1148</v>
      </c>
      <c r="E328" s="6" t="s">
        <v>25</v>
      </c>
      <c r="F328" s="6"/>
      <c r="G328" s="6"/>
      <c r="H328" s="6"/>
      <c r="I328" s="6"/>
      <c r="J328" s="6"/>
      <c r="K328" s="6" t="s">
        <v>88</v>
      </c>
      <c r="L328" s="6" t="s">
        <v>30</v>
      </c>
      <c r="M328" s="6"/>
      <c r="N328" s="6"/>
      <c r="O328" s="6" t="s">
        <v>71</v>
      </c>
      <c r="P328" s="1" t="str">
        <f aca="false">IF(H328="Yes",IF(J328="MLS","Pro - MLS",IF(J328="MLS NEXT Pro","Pro - MLS NEXT Pro",IF(J328="USL Championship","Pro - USL Championship",IF(J328="USL League One","Pro - USL League One","Pro - Other")))),IF(H328="No",IF(K328="Amateur / Pre-Professional","Amateur / Pre-Professional","Returned to College"),"Unknown"))</f>
        <v>Unknown</v>
      </c>
      <c r="Q328" s="1" t="str">
        <f aca="false">IF(E328="Yes","Yes","No")</f>
        <v>No</v>
      </c>
      <c r="R328" s="1" t="str">
        <f aca="false">IF(H328="Yes","Yes","No")</f>
        <v>No</v>
      </c>
      <c r="S328" s="2" t="s">
        <v>475</v>
      </c>
      <c r="T328" s="2" t="s">
        <v>35</v>
      </c>
      <c r="U328" s="2" t="s">
        <v>36</v>
      </c>
    </row>
    <row r="329" customFormat="false" ht="15" hidden="false" customHeight="true" outlineLevel="0" collapsed="false">
      <c r="A329" s="6" t="s">
        <v>1149</v>
      </c>
      <c r="B329" s="6" t="s">
        <v>48</v>
      </c>
      <c r="C329" s="6" t="s">
        <v>630</v>
      </c>
      <c r="D329" s="6" t="s">
        <v>301</v>
      </c>
      <c r="E329" s="6" t="s">
        <v>25</v>
      </c>
      <c r="F329" s="6"/>
      <c r="G329" s="6"/>
      <c r="H329" s="6"/>
      <c r="I329" s="6"/>
      <c r="J329" s="6"/>
      <c r="K329" s="6" t="s">
        <v>88</v>
      </c>
      <c r="L329" s="6" t="s">
        <v>30</v>
      </c>
      <c r="M329" s="6"/>
      <c r="N329" s="6"/>
      <c r="O329" s="6" t="s">
        <v>71</v>
      </c>
      <c r="P329" s="1" t="str">
        <f aca="false">IF(H329="Yes",IF(J329="MLS","Pro - MLS",IF(J329="MLS NEXT Pro","Pro - MLS NEXT Pro",IF(J329="USL Championship","Pro - USL Championship",IF(J329="USL League One","Pro - USL League One","Pro - Other")))),IF(H329="No",IF(K329="Amateur / Pre-Professional","Amateur / Pre-Professional","Returned to College"),"Unknown"))</f>
        <v>Unknown</v>
      </c>
      <c r="Q329" s="1" t="str">
        <f aca="false">IF(E329="Yes","Yes","No")</f>
        <v>No</v>
      </c>
      <c r="R329" s="1" t="str">
        <f aca="false">IF(H329="Yes","Yes","No")</f>
        <v>No</v>
      </c>
      <c r="S329" s="2" t="s">
        <v>1150</v>
      </c>
      <c r="T329" s="2" t="s">
        <v>35</v>
      </c>
      <c r="U329" s="2" t="s">
        <v>36</v>
      </c>
    </row>
    <row r="330" customFormat="false" ht="15" hidden="false" customHeight="true" outlineLevel="0" collapsed="false">
      <c r="A330" s="6" t="s">
        <v>1151</v>
      </c>
      <c r="B330" s="6" t="s">
        <v>48</v>
      </c>
      <c r="C330" s="6" t="s">
        <v>1152</v>
      </c>
      <c r="D330" s="6" t="s">
        <v>499</v>
      </c>
      <c r="E330" s="6" t="s">
        <v>25</v>
      </c>
      <c r="F330" s="6"/>
      <c r="G330" s="6"/>
      <c r="H330" s="6"/>
      <c r="I330" s="6"/>
      <c r="J330" s="6"/>
      <c r="K330" s="6" t="s">
        <v>88</v>
      </c>
      <c r="L330" s="6" t="s">
        <v>30</v>
      </c>
      <c r="M330" s="6"/>
      <c r="N330" s="6"/>
      <c r="O330" s="6" t="s">
        <v>71</v>
      </c>
      <c r="P330" s="1" t="str">
        <f aca="false">IF(H330="Yes",IF(J330="MLS","Pro - MLS",IF(J330="MLS NEXT Pro","Pro - MLS NEXT Pro",IF(J330="USL Championship","Pro - USL Championship",IF(J330="USL League One","Pro - USL League One","Pro - Other")))),IF(H330="No",IF(K330="Amateur / Pre-Professional","Amateur / Pre-Professional","Returned to College"),"Unknown"))</f>
        <v>Unknown</v>
      </c>
      <c r="Q330" s="1" t="str">
        <f aca="false">IF(E330="Yes","Yes","No")</f>
        <v>No</v>
      </c>
      <c r="R330" s="1" t="str">
        <f aca="false">IF(H330="Yes","Yes","No")</f>
        <v>No</v>
      </c>
      <c r="S330" s="2" t="s">
        <v>1153</v>
      </c>
      <c r="T330" s="2" t="s">
        <v>35</v>
      </c>
      <c r="U330" s="2" t="s">
        <v>36</v>
      </c>
    </row>
    <row r="331" customFormat="false" ht="15" hidden="false" customHeight="true" outlineLevel="0" collapsed="false">
      <c r="A331" s="6" t="s">
        <v>1154</v>
      </c>
      <c r="B331" s="6" t="s">
        <v>22</v>
      </c>
      <c r="C331" s="6" t="s">
        <v>920</v>
      </c>
      <c r="D331" s="6" t="s">
        <v>387</v>
      </c>
      <c r="E331" s="6" t="s">
        <v>25</v>
      </c>
      <c r="F331" s="6"/>
      <c r="G331" s="6"/>
      <c r="H331" s="6" t="s">
        <v>25</v>
      </c>
      <c r="I331" s="6" t="s">
        <v>920</v>
      </c>
      <c r="J331" s="6" t="s">
        <v>51</v>
      </c>
      <c r="K331" s="6" t="s">
        <v>52</v>
      </c>
      <c r="L331" s="6" t="s">
        <v>92</v>
      </c>
      <c r="M331" s="6" t="s">
        <v>1155</v>
      </c>
      <c r="N331" s="6" t="s">
        <v>1156</v>
      </c>
      <c r="O331" s="6" t="s">
        <v>33</v>
      </c>
      <c r="P331" s="1" t="str">
        <f aca="false">IF(H331="Yes",IF(J331="MLS","Pro - MLS",IF(J331="MLS NEXT Pro","Pro - MLS NEXT Pro",IF(J331="USL Championship","Pro - USL Championship",IF(J331="USL League One","Pro - USL League One","Pro - Other")))),IF(H331="No",IF(K331="Amateur / Pre-Professional","Amateur / Pre-Professional","Returned to College"),"Unknown"))</f>
        <v>Returned to College</v>
      </c>
      <c r="Q331" s="1" t="str">
        <f aca="false">IF(E331="Yes","Yes","No")</f>
        <v>No</v>
      </c>
      <c r="R331" s="1" t="str">
        <f aca="false">IF(H331="Yes","Yes","No")</f>
        <v>No</v>
      </c>
      <c r="S331" s="2" t="s">
        <v>1157</v>
      </c>
      <c r="T331" s="2" t="s">
        <v>35</v>
      </c>
      <c r="U331" s="2" t="s">
        <v>36</v>
      </c>
    </row>
    <row r="332" customFormat="false" ht="27.75" hidden="false" customHeight="true" outlineLevel="0" collapsed="false">
      <c r="A332" s="6" t="s">
        <v>1158</v>
      </c>
      <c r="B332" s="6" t="s">
        <v>63</v>
      </c>
      <c r="C332" s="6" t="s">
        <v>91</v>
      </c>
      <c r="D332" s="6"/>
      <c r="E332" s="6" t="s">
        <v>26</v>
      </c>
      <c r="F332" s="6" t="n">
        <v>17</v>
      </c>
      <c r="G332" s="6" t="s">
        <v>82</v>
      </c>
      <c r="H332" s="6" t="s">
        <v>25</v>
      </c>
      <c r="I332" s="6" t="s">
        <v>91</v>
      </c>
      <c r="J332" s="6" t="s">
        <v>51</v>
      </c>
      <c r="K332" s="6" t="s">
        <v>52</v>
      </c>
      <c r="L332" s="6" t="s">
        <v>53</v>
      </c>
      <c r="M332" s="6" t="s">
        <v>93</v>
      </c>
      <c r="N332" s="6" t="s">
        <v>94</v>
      </c>
      <c r="O332" s="6" t="s">
        <v>33</v>
      </c>
      <c r="P332" s="1" t="str">
        <f aca="false">IF(H332="Yes",IF(J332="MLS","Pro - MLS",IF(J332="MLS NEXT Pro","Pro - MLS NEXT Pro",IF(J332="USL Championship","Pro - USL Championship",IF(J332="USL League One","Pro - USL League One","Pro - Other")))),IF(H332="No",IF(K332="Amateur / Pre-Professional","Amateur / Pre-Professional","Returned to College"),"Unknown"))</f>
        <v>Returned to College</v>
      </c>
      <c r="Q332" s="1" t="str">
        <f aca="false">IF(E332="Yes","Yes","No")</f>
        <v>Yes</v>
      </c>
      <c r="R332" s="1" t="str">
        <f aca="false">IF(H332="Yes","Yes","No")</f>
        <v>No</v>
      </c>
      <c r="U332" s="2" t="s">
        <v>56</v>
      </c>
    </row>
    <row r="333" customFormat="false" ht="15" hidden="false" customHeight="true" outlineLevel="0" collapsed="false">
      <c r="A333" s="6" t="s">
        <v>1159</v>
      </c>
      <c r="B333" s="6" t="s">
        <v>22</v>
      </c>
      <c r="C333" s="6" t="s">
        <v>246</v>
      </c>
      <c r="D333" s="6" t="s">
        <v>1160</v>
      </c>
      <c r="E333" s="6" t="s">
        <v>25</v>
      </c>
      <c r="F333" s="6"/>
      <c r="G333" s="6"/>
      <c r="H333" s="6" t="s">
        <v>25</v>
      </c>
      <c r="I333" s="6" t="s">
        <v>246</v>
      </c>
      <c r="J333" s="6" t="s">
        <v>51</v>
      </c>
      <c r="K333" s="6" t="s">
        <v>52</v>
      </c>
      <c r="L333" s="6" t="s">
        <v>53</v>
      </c>
      <c r="M333" s="6" t="s">
        <v>247</v>
      </c>
      <c r="N333" s="6" t="s">
        <v>1161</v>
      </c>
      <c r="O333" s="6" t="s">
        <v>33</v>
      </c>
      <c r="P333" s="1" t="str">
        <f aca="false">IF(H333="Yes",IF(J333="MLS","Pro - MLS",IF(J333="MLS NEXT Pro","Pro - MLS NEXT Pro",IF(J333="USL Championship","Pro - USL Championship",IF(J333="USL League One","Pro - USL League One","Pro - Other")))),IF(H333="No",IF(K333="Amateur / Pre-Professional","Amateur / Pre-Professional","Returned to College"),"Unknown"))</f>
        <v>Returned to College</v>
      </c>
      <c r="Q333" s="1" t="str">
        <f aca="false">IF(E333="Yes","Yes","No")</f>
        <v>No</v>
      </c>
      <c r="R333" s="1" t="str">
        <f aca="false">IF(H333="Yes","Yes","No")</f>
        <v>No</v>
      </c>
      <c r="S333" s="2" t="s">
        <v>1162</v>
      </c>
      <c r="T333" s="2" t="s">
        <v>35</v>
      </c>
      <c r="U333" s="2" t="s">
        <v>36</v>
      </c>
    </row>
    <row r="334" customFormat="false" ht="27.75" hidden="false" customHeight="true" outlineLevel="0" collapsed="false">
      <c r="A334" s="6" t="s">
        <v>1163</v>
      </c>
      <c r="B334" s="6" t="s">
        <v>48</v>
      </c>
      <c r="C334" s="6" t="s">
        <v>678</v>
      </c>
      <c r="D334" s="6"/>
      <c r="E334" s="6" t="s">
        <v>26</v>
      </c>
      <c r="F334" s="6" t="n">
        <v>69</v>
      </c>
      <c r="G334" s="6" t="s">
        <v>230</v>
      </c>
      <c r="H334" s="6" t="s">
        <v>26</v>
      </c>
      <c r="I334" s="6" t="s">
        <v>355</v>
      </c>
      <c r="J334" s="6" t="s">
        <v>76</v>
      </c>
      <c r="K334" s="6" t="s">
        <v>29</v>
      </c>
      <c r="L334" s="6" t="s">
        <v>30</v>
      </c>
      <c r="M334" s="6" t="s">
        <v>133</v>
      </c>
      <c r="N334" s="6" t="s">
        <v>70</v>
      </c>
      <c r="O334" s="6" t="s">
        <v>71</v>
      </c>
      <c r="P334" s="1" t="str">
        <f aca="false">IF(H334="Yes",IF(J334="MLS","Pro - MLS",IF(J334="MLS NEXT Pro","Pro - MLS NEXT Pro",IF(J334="USL Championship","Pro - USL Championship",IF(J334="USL League One","Pro - USL League One","Pro - Other")))),IF(H334="No",IF(K334="Amateur / Pre-Professional","Amateur / Pre-Professional","Returned to College"),"Unknown"))</f>
        <v>Pro - MLS NEXT Pro</v>
      </c>
      <c r="Q334" s="1" t="str">
        <f aca="false">IF(E334="Yes","Yes","No")</f>
        <v>Yes</v>
      </c>
      <c r="R334" s="1" t="str">
        <f aca="false">IF(H334="Yes","Yes","No")</f>
        <v>Yes</v>
      </c>
      <c r="U334" s="2" t="s">
        <v>56</v>
      </c>
    </row>
    <row r="335" customFormat="false" ht="15" hidden="false" customHeight="true" outlineLevel="0" collapsed="false">
      <c r="A335" s="6" t="s">
        <v>1164</v>
      </c>
      <c r="B335" s="6" t="s">
        <v>22</v>
      </c>
      <c r="C335" s="6" t="s">
        <v>184</v>
      </c>
      <c r="D335" s="6"/>
      <c r="E335" s="6" t="s">
        <v>25</v>
      </c>
      <c r="F335" s="6"/>
      <c r="G335" s="6"/>
      <c r="H335" s="6" t="s">
        <v>26</v>
      </c>
      <c r="I335" s="6" t="s">
        <v>27</v>
      </c>
      <c r="J335" s="6" t="s">
        <v>28</v>
      </c>
      <c r="K335" s="6" t="s">
        <v>29</v>
      </c>
      <c r="L335" s="6" t="s">
        <v>83</v>
      </c>
      <c r="M335" s="6" t="s">
        <v>1165</v>
      </c>
      <c r="N335" s="6" t="s">
        <v>1166</v>
      </c>
      <c r="O335" s="6" t="s">
        <v>33</v>
      </c>
      <c r="P335" s="1" t="str">
        <f aca="false">IF(H335="Yes",IF(J335="MLS","Pro - MLS",IF(J335="MLS NEXT Pro","Pro - MLS NEXT Pro",IF(J335="USL Championship","Pro - USL Championship",IF(J335="USL League One","Pro - USL League One","Pro - Other")))),IF(H335="No",IF(K335="Amateur / Pre-Professional","Amateur / Pre-Professional","Returned to College"),"Unknown"))</f>
        <v>Pro - USL League One</v>
      </c>
      <c r="Q335" s="1" t="str">
        <f aca="false">IF(E335="Yes","Yes","No")</f>
        <v>No</v>
      </c>
      <c r="R335" s="1" t="str">
        <f aca="false">IF(H335="Yes","Yes","No")</f>
        <v>Yes</v>
      </c>
      <c r="S335" s="2" t="s">
        <v>1167</v>
      </c>
      <c r="T335" s="2" t="s">
        <v>35</v>
      </c>
      <c r="U335" s="2" t="s">
        <v>36</v>
      </c>
    </row>
    <row r="336" customFormat="false" ht="27.75" hidden="false" customHeight="true" outlineLevel="0" collapsed="false">
      <c r="A336" s="6" t="s">
        <v>1168</v>
      </c>
      <c r="B336" s="6" t="s">
        <v>63</v>
      </c>
      <c r="C336" s="6" t="s">
        <v>532</v>
      </c>
      <c r="D336" s="6" t="s">
        <v>1169</v>
      </c>
      <c r="E336" s="6" t="s">
        <v>26</v>
      </c>
      <c r="F336" s="6" t="n">
        <v>88</v>
      </c>
      <c r="G336" s="6" t="s">
        <v>230</v>
      </c>
      <c r="H336" s="6" t="s">
        <v>26</v>
      </c>
      <c r="I336" s="6" t="s">
        <v>355</v>
      </c>
      <c r="J336" s="6" t="s">
        <v>76</v>
      </c>
      <c r="K336" s="6" t="s">
        <v>29</v>
      </c>
      <c r="L336" s="6" t="s">
        <v>83</v>
      </c>
      <c r="M336" s="6" t="s">
        <v>133</v>
      </c>
      <c r="N336" s="6" t="s">
        <v>70</v>
      </c>
      <c r="O336" s="6" t="s">
        <v>71</v>
      </c>
      <c r="P336" s="1" t="str">
        <f aca="false">IF(H336="Yes",IF(J336="MLS","Pro - MLS",IF(J336="MLS NEXT Pro","Pro - MLS NEXT Pro",IF(J336="USL Championship","Pro - USL Championship",IF(J336="USL League One","Pro - USL League One","Pro - Other")))),IF(H336="No",IF(K336="Amateur / Pre-Professional","Amateur / Pre-Professional","Returned to College"),"Unknown"))</f>
        <v>Pro - MLS NEXT Pro</v>
      </c>
      <c r="Q336" s="1" t="str">
        <f aca="false">IF(E336="Yes","Yes","No")</f>
        <v>Yes</v>
      </c>
      <c r="R336" s="1" t="str">
        <f aca="false">IF(H336="Yes","Yes","No")</f>
        <v>Yes</v>
      </c>
      <c r="U336" s="2" t="s">
        <v>56</v>
      </c>
    </row>
    <row r="337" customFormat="false" ht="27.75" hidden="false" customHeight="true" outlineLevel="0" collapsed="false">
      <c r="A337" s="6" t="s">
        <v>1170</v>
      </c>
      <c r="B337" s="6" t="s">
        <v>48</v>
      </c>
      <c r="C337" s="6" t="s">
        <v>163</v>
      </c>
      <c r="D337" s="6" t="s">
        <v>612</v>
      </c>
      <c r="E337" s="6" t="s">
        <v>25</v>
      </c>
      <c r="F337" s="6"/>
      <c r="G337" s="6"/>
      <c r="H337" s="6"/>
      <c r="I337" s="6"/>
      <c r="J337" s="6"/>
      <c r="K337" s="6" t="s">
        <v>88</v>
      </c>
      <c r="L337" s="6" t="s">
        <v>30</v>
      </c>
      <c r="M337" s="6"/>
      <c r="N337" s="6"/>
      <c r="O337" s="6" t="s">
        <v>71</v>
      </c>
      <c r="P337" s="1" t="str">
        <f aca="false">IF(H337="Yes",IF(J337="MLS","Pro - MLS",IF(J337="MLS NEXT Pro","Pro - MLS NEXT Pro",IF(J337="USL Championship","Pro - USL Championship",IF(J337="USL League One","Pro - USL League One","Pro - Other")))),IF(H337="No",IF(K337="Amateur / Pre-Professional","Amateur / Pre-Professional","Returned to College"),"Unknown"))</f>
        <v>Unknown</v>
      </c>
      <c r="Q337" s="1" t="str">
        <f aca="false">IF(E337="Yes","Yes","No")</f>
        <v>No</v>
      </c>
      <c r="R337" s="1" t="str">
        <f aca="false">IF(H337="Yes","Yes","No")</f>
        <v>No</v>
      </c>
      <c r="S337" s="2" t="s">
        <v>1171</v>
      </c>
      <c r="T337" s="2" t="s">
        <v>35</v>
      </c>
      <c r="U337" s="2" t="s">
        <v>36</v>
      </c>
    </row>
    <row r="338" customFormat="false" ht="15" hidden="false" customHeight="true" outlineLevel="0" collapsed="false">
      <c r="A338" s="6" t="s">
        <v>1172</v>
      </c>
      <c r="B338" s="6" t="s">
        <v>63</v>
      </c>
      <c r="C338" s="6" t="s">
        <v>752</v>
      </c>
      <c r="D338" s="6"/>
      <c r="E338" s="6" t="s">
        <v>25</v>
      </c>
      <c r="F338" s="6"/>
      <c r="G338" s="6"/>
      <c r="H338" s="6"/>
      <c r="I338" s="6"/>
      <c r="J338" s="6"/>
      <c r="K338" s="6" t="s">
        <v>88</v>
      </c>
      <c r="L338" s="6" t="s">
        <v>30</v>
      </c>
      <c r="M338" s="6"/>
      <c r="N338" s="6"/>
      <c r="O338" s="6" t="s">
        <v>71</v>
      </c>
      <c r="P338" s="1" t="str">
        <f aca="false">IF(H338="Yes",IF(J338="MLS","Pro - MLS",IF(J338="MLS NEXT Pro","Pro - MLS NEXT Pro",IF(J338="USL Championship","Pro - USL Championship",IF(J338="USL League One","Pro - USL League One","Pro - Other")))),IF(H338="No",IF(K338="Amateur / Pre-Professional","Amateur / Pre-Professional","Returned to College"),"Unknown"))</f>
        <v>Unknown</v>
      </c>
      <c r="Q338" s="1" t="str">
        <f aca="false">IF(E338="Yes","Yes","No")</f>
        <v>No</v>
      </c>
      <c r="R338" s="1" t="str">
        <f aca="false">IF(H338="Yes","Yes","No")</f>
        <v>No</v>
      </c>
      <c r="S338" s="2" t="s">
        <v>755</v>
      </c>
      <c r="T338" s="2" t="s">
        <v>35</v>
      </c>
      <c r="U338" s="2" t="s">
        <v>36</v>
      </c>
    </row>
    <row r="339" customFormat="false" ht="15" hidden="false" customHeight="true" outlineLevel="0" collapsed="false">
      <c r="A339" s="6" t="s">
        <v>1173</v>
      </c>
      <c r="B339" s="6" t="s">
        <v>48</v>
      </c>
      <c r="C339" s="6" t="s">
        <v>447</v>
      </c>
      <c r="D339" s="6"/>
      <c r="E339" s="6" t="s">
        <v>25</v>
      </c>
      <c r="F339" s="6"/>
      <c r="G339" s="6"/>
      <c r="H339" s="6"/>
      <c r="I339" s="6"/>
      <c r="J339" s="6"/>
      <c r="K339" s="6" t="s">
        <v>88</v>
      </c>
      <c r="L339" s="6" t="s">
        <v>30</v>
      </c>
      <c r="M339" s="6"/>
      <c r="N339" s="6"/>
      <c r="O339" s="6" t="s">
        <v>71</v>
      </c>
      <c r="P339" s="1" t="str">
        <f aca="false">IF(H339="Yes",IF(J339="MLS","Pro - MLS",IF(J339="MLS NEXT Pro","Pro - MLS NEXT Pro",IF(J339="USL Championship","Pro - USL Championship",IF(J339="USL League One","Pro - USL League One","Pro - Other")))),IF(H339="No",IF(K339="Amateur / Pre-Professional","Amateur / Pre-Professional","Returned to College"),"Unknown"))</f>
        <v>Unknown</v>
      </c>
      <c r="Q339" s="1" t="str">
        <f aca="false">IF(E339="Yes","Yes","No")</f>
        <v>No</v>
      </c>
      <c r="R339" s="1" t="str">
        <f aca="false">IF(H339="Yes","Yes","No")</f>
        <v>No</v>
      </c>
      <c r="S339" s="2" t="s">
        <v>451</v>
      </c>
      <c r="T339" s="2" t="s">
        <v>35</v>
      </c>
      <c r="U339" s="2" t="s">
        <v>36</v>
      </c>
    </row>
    <row r="340" customFormat="false" ht="15" hidden="false" customHeight="true" outlineLevel="0" collapsed="false">
      <c r="A340" s="6" t="s">
        <v>1174</v>
      </c>
      <c r="B340" s="6" t="s">
        <v>48</v>
      </c>
      <c r="C340" s="6" t="s">
        <v>1064</v>
      </c>
      <c r="D340" s="6"/>
      <c r="E340" s="6" t="s">
        <v>25</v>
      </c>
      <c r="F340" s="6"/>
      <c r="G340" s="6"/>
      <c r="H340" s="6" t="s">
        <v>25</v>
      </c>
      <c r="I340" s="6" t="s">
        <v>1064</v>
      </c>
      <c r="J340" s="6" t="s">
        <v>51</v>
      </c>
      <c r="K340" s="6" t="s">
        <v>52</v>
      </c>
      <c r="L340" s="6" t="s">
        <v>53</v>
      </c>
      <c r="M340" s="6" t="s">
        <v>1175</v>
      </c>
      <c r="N340" s="6" t="s">
        <v>1176</v>
      </c>
      <c r="O340" s="6" t="s">
        <v>33</v>
      </c>
      <c r="P340" s="1" t="str">
        <f aca="false">IF(H340="Yes",IF(J340="MLS","Pro - MLS",IF(J340="MLS NEXT Pro","Pro - MLS NEXT Pro",IF(J340="USL Championship","Pro - USL Championship",IF(J340="USL League One","Pro - USL League One","Pro - Other")))),IF(H340="No",IF(K340="Amateur / Pre-Professional","Amateur / Pre-Professional","Returned to College"),"Unknown"))</f>
        <v>Returned to College</v>
      </c>
      <c r="Q340" s="1" t="str">
        <f aca="false">IF(E340="Yes","Yes","No")</f>
        <v>No</v>
      </c>
      <c r="R340" s="1" t="str">
        <f aca="false">IF(H340="Yes","Yes","No")</f>
        <v>No</v>
      </c>
      <c r="S340" s="2" t="s">
        <v>1177</v>
      </c>
      <c r="T340" s="2" t="s">
        <v>35</v>
      </c>
      <c r="U340" s="2" t="s">
        <v>36</v>
      </c>
    </row>
    <row r="341" customFormat="false" ht="15" hidden="false" customHeight="true" outlineLevel="0" collapsed="false">
      <c r="A341" s="6" t="s">
        <v>1178</v>
      </c>
      <c r="B341" s="6" t="s">
        <v>22</v>
      </c>
      <c r="C341" s="6" t="s">
        <v>532</v>
      </c>
      <c r="D341" s="6" t="s">
        <v>1179</v>
      </c>
      <c r="E341" s="6" t="s">
        <v>25</v>
      </c>
      <c r="F341" s="6"/>
      <c r="G341" s="6"/>
      <c r="H341" s="6" t="s">
        <v>25</v>
      </c>
      <c r="I341" s="6" t="s">
        <v>532</v>
      </c>
      <c r="J341" s="6" t="s">
        <v>51</v>
      </c>
      <c r="K341" s="6" t="s">
        <v>52</v>
      </c>
      <c r="L341" s="6" t="s">
        <v>53</v>
      </c>
      <c r="M341" s="6" t="s">
        <v>1180</v>
      </c>
      <c r="N341" s="6" t="s">
        <v>1181</v>
      </c>
      <c r="O341" s="6" t="s">
        <v>33</v>
      </c>
      <c r="P341" s="1" t="str">
        <f aca="false">IF(H341="Yes",IF(J341="MLS","Pro - MLS",IF(J341="MLS NEXT Pro","Pro - MLS NEXT Pro",IF(J341="USL Championship","Pro - USL Championship",IF(J341="USL League One","Pro - USL League One","Pro - Other")))),IF(H341="No",IF(K341="Amateur / Pre-Professional","Amateur / Pre-Professional","Returned to College"),"Unknown"))</f>
        <v>Returned to College</v>
      </c>
      <c r="Q341" s="1" t="str">
        <f aca="false">IF(E341="Yes","Yes","No")</f>
        <v>No</v>
      </c>
      <c r="R341" s="1" t="str">
        <f aca="false">IF(H341="Yes","Yes","No")</f>
        <v>No</v>
      </c>
      <c r="S341" s="2" t="s">
        <v>533</v>
      </c>
      <c r="T341" s="2" t="s">
        <v>35</v>
      </c>
      <c r="U341" s="2" t="s">
        <v>36</v>
      </c>
    </row>
    <row r="342" customFormat="false" ht="15" hidden="false" customHeight="true" outlineLevel="0" collapsed="false">
      <c r="A342" s="6" t="s">
        <v>1182</v>
      </c>
      <c r="B342" s="6" t="s">
        <v>48</v>
      </c>
      <c r="C342" s="6" t="s">
        <v>1183</v>
      </c>
      <c r="D342" s="6" t="s">
        <v>251</v>
      </c>
      <c r="E342" s="6" t="s">
        <v>25</v>
      </c>
      <c r="F342" s="6"/>
      <c r="G342" s="6"/>
      <c r="H342" s="6" t="s">
        <v>25</v>
      </c>
      <c r="I342" s="6" t="s">
        <v>800</v>
      </c>
      <c r="J342" s="6" t="s">
        <v>51</v>
      </c>
      <c r="K342" s="6" t="s">
        <v>52</v>
      </c>
      <c r="L342" s="6" t="s">
        <v>92</v>
      </c>
      <c r="M342" s="6" t="s">
        <v>1184</v>
      </c>
      <c r="N342" s="6" t="s">
        <v>1185</v>
      </c>
      <c r="O342" s="6" t="s">
        <v>33</v>
      </c>
      <c r="P342" s="1" t="str">
        <f aca="false">IF(H342="Yes",IF(J342="MLS","Pro - MLS",IF(J342="MLS NEXT Pro","Pro - MLS NEXT Pro",IF(J342="USL Championship","Pro - USL Championship",IF(J342="USL League One","Pro - USL League One","Pro - Other")))),IF(H342="No",IF(K342="Amateur / Pre-Professional","Amateur / Pre-Professional","Returned to College"),"Unknown"))</f>
        <v>Returned to College</v>
      </c>
      <c r="Q342" s="1" t="str">
        <f aca="false">IF(E342="Yes","Yes","No")</f>
        <v>No</v>
      </c>
      <c r="R342" s="1" t="str">
        <f aca="false">IF(H342="Yes","Yes","No")</f>
        <v>No</v>
      </c>
      <c r="S342" s="2" t="s">
        <v>1186</v>
      </c>
      <c r="T342" s="2" t="s">
        <v>35</v>
      </c>
      <c r="U342" s="2" t="s">
        <v>36</v>
      </c>
    </row>
    <row r="343" customFormat="false" ht="27.75" hidden="false" customHeight="true" outlineLevel="0" collapsed="false">
      <c r="A343" s="6" t="s">
        <v>1187</v>
      </c>
      <c r="B343" s="6" t="s">
        <v>22</v>
      </c>
      <c r="C343" s="6" t="s">
        <v>280</v>
      </c>
      <c r="D343" s="6"/>
      <c r="E343" s="6" t="s">
        <v>25</v>
      </c>
      <c r="F343" s="6"/>
      <c r="G343" s="6"/>
      <c r="H343" s="6" t="s">
        <v>25</v>
      </c>
      <c r="I343" s="6" t="s">
        <v>282</v>
      </c>
      <c r="J343" s="6" t="s">
        <v>51</v>
      </c>
      <c r="K343" s="6" t="s">
        <v>52</v>
      </c>
      <c r="L343" s="6" t="s">
        <v>53</v>
      </c>
      <c r="M343" s="6" t="s">
        <v>1188</v>
      </c>
      <c r="N343" s="6" t="s">
        <v>1189</v>
      </c>
      <c r="O343" s="6" t="s">
        <v>33</v>
      </c>
      <c r="P343" s="1" t="str">
        <f aca="false">IF(H343="Yes",IF(J343="MLS","Pro - MLS",IF(J343="MLS NEXT Pro","Pro - MLS NEXT Pro",IF(J343="USL Championship","Pro - USL Championship",IF(J343="USL League One","Pro - USL League One","Pro - Other")))),IF(H343="No",IF(K343="Amateur / Pre-Professional","Amateur / Pre-Professional","Returned to College"),"Unknown"))</f>
        <v>Returned to College</v>
      </c>
      <c r="Q343" s="1" t="str">
        <f aca="false">IF(E343="Yes","Yes","No")</f>
        <v>No</v>
      </c>
      <c r="R343" s="1" t="str">
        <f aca="false">IF(H343="Yes","Yes","No")</f>
        <v>No</v>
      </c>
      <c r="S343" s="2" t="s">
        <v>285</v>
      </c>
      <c r="T343" s="2" t="s">
        <v>35</v>
      </c>
      <c r="U343" s="2" t="s">
        <v>36</v>
      </c>
    </row>
    <row r="344" customFormat="false" ht="15" hidden="false" customHeight="true" outlineLevel="0" collapsed="false">
      <c r="A344" s="6" t="s">
        <v>1190</v>
      </c>
      <c r="B344" s="6" t="s">
        <v>63</v>
      </c>
      <c r="C344" s="6" t="s">
        <v>357</v>
      </c>
      <c r="D344" s="6"/>
      <c r="E344" s="6" t="s">
        <v>25</v>
      </c>
      <c r="F344" s="6"/>
      <c r="G344" s="6"/>
      <c r="H344" s="6" t="s">
        <v>25</v>
      </c>
      <c r="I344" s="6" t="s">
        <v>357</v>
      </c>
      <c r="J344" s="6" t="s">
        <v>51</v>
      </c>
      <c r="K344" s="6" t="s">
        <v>52</v>
      </c>
      <c r="L344" s="6" t="s">
        <v>83</v>
      </c>
      <c r="M344" s="6" t="s">
        <v>722</v>
      </c>
      <c r="N344" s="6" t="s">
        <v>863</v>
      </c>
      <c r="O344" s="6" t="s">
        <v>33</v>
      </c>
      <c r="P344" s="1" t="str">
        <f aca="false">IF(H344="Yes",IF(J344="MLS","Pro - MLS",IF(J344="MLS NEXT Pro","Pro - MLS NEXT Pro",IF(J344="USL Championship","Pro - USL Championship",IF(J344="USL League One","Pro - USL League One","Pro - Other")))),IF(H344="No",IF(K344="Amateur / Pre-Professional","Amateur / Pre-Professional","Returned to College"),"Unknown"))</f>
        <v>Returned to College</v>
      </c>
      <c r="Q344" s="1" t="str">
        <f aca="false">IF(E344="Yes","Yes","No")</f>
        <v>No</v>
      </c>
      <c r="R344" s="1" t="str">
        <f aca="false">IF(H344="Yes","Yes","No")</f>
        <v>No</v>
      </c>
      <c r="U344" s="2" t="s">
        <v>56</v>
      </c>
    </row>
    <row r="345" customFormat="false" ht="27.75" hidden="false" customHeight="true" outlineLevel="0" collapsed="false">
      <c r="A345" s="6" t="s">
        <v>1191</v>
      </c>
      <c r="B345" s="6" t="s">
        <v>38</v>
      </c>
      <c r="C345" s="6" t="s">
        <v>261</v>
      </c>
      <c r="D345" s="6" t="s">
        <v>1192</v>
      </c>
      <c r="E345" s="6" t="s">
        <v>26</v>
      </c>
      <c r="F345" s="6" t="n">
        <v>37</v>
      </c>
      <c r="G345" s="6" t="s">
        <v>604</v>
      </c>
      <c r="H345" s="6" t="s">
        <v>25</v>
      </c>
      <c r="I345" s="6" t="s">
        <v>261</v>
      </c>
      <c r="J345" s="6" t="s">
        <v>51</v>
      </c>
      <c r="K345" s="6" t="s">
        <v>52</v>
      </c>
      <c r="L345" s="6" t="s">
        <v>83</v>
      </c>
      <c r="M345" s="6" t="s">
        <v>264</v>
      </c>
      <c r="N345" s="6" t="s">
        <v>1193</v>
      </c>
      <c r="O345" s="6" t="s">
        <v>33</v>
      </c>
      <c r="P345" s="1" t="str">
        <f aca="false">IF(H345="Yes",IF(J345="MLS","Pro - MLS",IF(J345="MLS NEXT Pro","Pro - MLS NEXT Pro",IF(J345="USL Championship","Pro - USL Championship",IF(J345="USL League One","Pro - USL League One","Pro - Other")))),IF(H345="No",IF(K345="Amateur / Pre-Professional","Amateur / Pre-Professional","Returned to College"),"Unknown"))</f>
        <v>Returned to College</v>
      </c>
      <c r="Q345" s="1" t="str">
        <f aca="false">IF(E345="Yes","Yes","No")</f>
        <v>Yes</v>
      </c>
      <c r="R345" s="1" t="str">
        <f aca="false">IF(H345="Yes","Yes","No")</f>
        <v>No</v>
      </c>
      <c r="U345" s="2" t="s">
        <v>56</v>
      </c>
    </row>
    <row r="346" customFormat="false" ht="15" hidden="false" customHeight="true" outlineLevel="0" collapsed="false">
      <c r="A346" s="6" t="s">
        <v>1194</v>
      </c>
      <c r="B346" s="6" t="s">
        <v>63</v>
      </c>
      <c r="C346" s="6" t="s">
        <v>400</v>
      </c>
      <c r="D346" s="6" t="s">
        <v>548</v>
      </c>
      <c r="E346" s="6" t="s">
        <v>25</v>
      </c>
      <c r="F346" s="6"/>
      <c r="G346" s="6"/>
      <c r="H346" s="6"/>
      <c r="I346" s="6"/>
      <c r="J346" s="6"/>
      <c r="K346" s="6" t="s">
        <v>88</v>
      </c>
      <c r="L346" s="6" t="s">
        <v>30</v>
      </c>
      <c r="M346" s="6"/>
      <c r="N346" s="6"/>
      <c r="O346" s="6" t="s">
        <v>71</v>
      </c>
      <c r="P346" s="1" t="str">
        <f aca="false">IF(H346="Yes",IF(J346="MLS","Pro - MLS",IF(J346="MLS NEXT Pro","Pro - MLS NEXT Pro",IF(J346="USL Championship","Pro - USL Championship",IF(J346="USL League One","Pro - USL League One","Pro - Other")))),IF(H346="No",IF(K346="Amateur / Pre-Professional","Amateur / Pre-Professional","Returned to College"),"Unknown"))</f>
        <v>Unknown</v>
      </c>
      <c r="Q346" s="1" t="str">
        <f aca="false">IF(E346="Yes","Yes","No")</f>
        <v>No</v>
      </c>
      <c r="R346" s="1" t="str">
        <f aca="false">IF(H346="Yes","Yes","No")</f>
        <v>No</v>
      </c>
      <c r="S346" s="2" t="s">
        <v>403</v>
      </c>
      <c r="T346" s="2" t="s">
        <v>35</v>
      </c>
      <c r="U346" s="2" t="s">
        <v>36</v>
      </c>
    </row>
    <row r="347" customFormat="false" ht="27.75" hidden="false" customHeight="true" outlineLevel="0" collapsed="false">
      <c r="A347" s="6" t="s">
        <v>1195</v>
      </c>
      <c r="B347" s="6" t="s">
        <v>63</v>
      </c>
      <c r="C347" s="6" t="s">
        <v>280</v>
      </c>
      <c r="D347" s="6" t="s">
        <v>205</v>
      </c>
      <c r="E347" s="6" t="s">
        <v>26</v>
      </c>
      <c r="F347" s="6" t="n">
        <v>18</v>
      </c>
      <c r="G347" s="6" t="s">
        <v>112</v>
      </c>
      <c r="H347" s="6" t="s">
        <v>26</v>
      </c>
      <c r="I347" s="6" t="s">
        <v>257</v>
      </c>
      <c r="J347" s="6" t="s">
        <v>76</v>
      </c>
      <c r="K347" s="6" t="s">
        <v>29</v>
      </c>
      <c r="L347" s="6" t="s">
        <v>584</v>
      </c>
      <c r="M347" s="6" t="s">
        <v>133</v>
      </c>
      <c r="N347" s="6" t="s">
        <v>70</v>
      </c>
      <c r="O347" s="6" t="s">
        <v>71</v>
      </c>
      <c r="P347" s="1" t="str">
        <f aca="false">IF(H347="Yes",IF(J347="MLS","Pro - MLS",IF(J347="MLS NEXT Pro","Pro - MLS NEXT Pro",IF(J347="USL Championship","Pro - USL Championship",IF(J347="USL League One","Pro - USL League One","Pro - Other")))),IF(H347="No",IF(K347="Amateur / Pre-Professional","Amateur / Pre-Professional","Returned to College"),"Unknown"))</f>
        <v>Pro - MLS NEXT Pro</v>
      </c>
      <c r="Q347" s="1" t="str">
        <f aca="false">IF(E347="Yes","Yes","No")</f>
        <v>Yes</v>
      </c>
      <c r="R347" s="1" t="str">
        <f aca="false">IF(H347="Yes","Yes","No")</f>
        <v>Yes</v>
      </c>
      <c r="U347" s="2" t="s">
        <v>56</v>
      </c>
    </row>
    <row r="348" customFormat="false" ht="27.75" hidden="false" customHeight="true" outlineLevel="0" collapsed="false">
      <c r="A348" s="6" t="s">
        <v>1196</v>
      </c>
      <c r="B348" s="6" t="s">
        <v>22</v>
      </c>
      <c r="C348" s="6" t="s">
        <v>920</v>
      </c>
      <c r="D348" s="6"/>
      <c r="E348" s="6" t="s">
        <v>26</v>
      </c>
      <c r="F348" s="6" t="n">
        <v>5</v>
      </c>
      <c r="G348" s="6" t="s">
        <v>306</v>
      </c>
      <c r="H348" s="6" t="s">
        <v>26</v>
      </c>
      <c r="I348" s="6" t="s">
        <v>306</v>
      </c>
      <c r="J348" s="6" t="s">
        <v>67</v>
      </c>
      <c r="K348" s="6" t="s">
        <v>29</v>
      </c>
      <c r="L348" s="6" t="s">
        <v>53</v>
      </c>
      <c r="M348" s="6" t="s">
        <v>69</v>
      </c>
      <c r="N348" s="6" t="s">
        <v>70</v>
      </c>
      <c r="O348" s="6" t="s">
        <v>71</v>
      </c>
      <c r="P348" s="1" t="str">
        <f aca="false">IF(H348="Yes",IF(J348="MLS","Pro - MLS",IF(J348="MLS NEXT Pro","Pro - MLS NEXT Pro",IF(J348="USL Championship","Pro - USL Championship",IF(J348="USL League One","Pro - USL League One","Pro - Other")))),IF(H348="No",IF(K348="Amateur / Pre-Professional","Amateur / Pre-Professional","Returned to College"),"Unknown"))</f>
        <v>Pro - MLS</v>
      </c>
      <c r="Q348" s="1" t="str">
        <f aca="false">IF(E348="Yes","Yes","No")</f>
        <v>Yes</v>
      </c>
      <c r="R348" s="1" t="str">
        <f aca="false">IF(H348="Yes","Yes","No")</f>
        <v>Yes</v>
      </c>
      <c r="U348" s="2" t="s">
        <v>56</v>
      </c>
    </row>
    <row r="349" customFormat="false" ht="15" hidden="false" customHeight="true" outlineLevel="0" collapsed="false">
      <c r="A349" s="6" t="s">
        <v>1197</v>
      </c>
      <c r="B349" s="6" t="s">
        <v>22</v>
      </c>
      <c r="C349" s="6" t="s">
        <v>953</v>
      </c>
      <c r="D349" s="6"/>
      <c r="E349" s="6" t="s">
        <v>25</v>
      </c>
      <c r="F349" s="6"/>
      <c r="G349" s="6"/>
      <c r="H349" s="6" t="s">
        <v>26</v>
      </c>
      <c r="I349" s="6" t="s">
        <v>252</v>
      </c>
      <c r="J349" s="6" t="s">
        <v>76</v>
      </c>
      <c r="K349" s="6" t="s">
        <v>29</v>
      </c>
      <c r="L349" s="6" t="s">
        <v>43</v>
      </c>
      <c r="M349" s="6" t="s">
        <v>1198</v>
      </c>
      <c r="N349" s="6" t="s">
        <v>1199</v>
      </c>
      <c r="O349" s="6" t="s">
        <v>33</v>
      </c>
      <c r="P349" s="1" t="str">
        <f aca="false">IF(H349="Yes",IF(J349="MLS","Pro - MLS",IF(J349="MLS NEXT Pro","Pro - MLS NEXT Pro",IF(J349="USL Championship","Pro - USL Championship",IF(J349="USL League One","Pro - USL League One","Pro - Other")))),IF(H349="No",IF(K349="Amateur / Pre-Professional","Amateur / Pre-Professional","Returned to College"),"Unknown"))</f>
        <v>Pro - MLS NEXT Pro</v>
      </c>
      <c r="Q349" s="1" t="str">
        <f aca="false">IF(E349="Yes","Yes","No")</f>
        <v>No</v>
      </c>
      <c r="R349" s="1" t="str">
        <f aca="false">IF(H349="Yes","Yes","No")</f>
        <v>Yes</v>
      </c>
      <c r="S349" s="2" t="s">
        <v>1200</v>
      </c>
      <c r="T349" s="2" t="s">
        <v>35</v>
      </c>
      <c r="U349" s="2" t="s">
        <v>36</v>
      </c>
    </row>
    <row r="350" customFormat="false" ht="15" hidden="false" customHeight="true" outlineLevel="0" collapsed="false">
      <c r="A350" s="6" t="s">
        <v>1201</v>
      </c>
      <c r="B350" s="6" t="s">
        <v>48</v>
      </c>
      <c r="C350" s="6" t="s">
        <v>214</v>
      </c>
      <c r="D350" s="6" t="s">
        <v>465</v>
      </c>
      <c r="E350" s="6" t="s">
        <v>25</v>
      </c>
      <c r="F350" s="6"/>
      <c r="G350" s="6"/>
      <c r="H350" s="6" t="s">
        <v>25</v>
      </c>
      <c r="I350" s="6" t="s">
        <v>687</v>
      </c>
      <c r="J350" s="6" t="s">
        <v>51</v>
      </c>
      <c r="K350" s="6" t="s">
        <v>52</v>
      </c>
      <c r="L350" s="6" t="s">
        <v>92</v>
      </c>
      <c r="M350" s="6" t="s">
        <v>892</v>
      </c>
      <c r="N350" s="6" t="s">
        <v>1202</v>
      </c>
      <c r="O350" s="6" t="s">
        <v>33</v>
      </c>
      <c r="P350" s="1" t="str">
        <f aca="false">IF(H350="Yes",IF(J350="MLS","Pro - MLS",IF(J350="MLS NEXT Pro","Pro - MLS NEXT Pro",IF(J350="USL Championship","Pro - USL Championship",IF(J350="USL League One","Pro - USL League One","Pro - Other")))),IF(H350="No",IF(K350="Amateur / Pre-Professional","Amateur / Pre-Professional","Returned to College"),"Unknown"))</f>
        <v>Returned to College</v>
      </c>
      <c r="Q350" s="1" t="str">
        <f aca="false">IF(E350="Yes","Yes","No")</f>
        <v>No</v>
      </c>
      <c r="R350" s="1" t="str">
        <f aca="false">IF(H350="Yes","Yes","No")</f>
        <v>No</v>
      </c>
      <c r="S350" s="2" t="s">
        <v>1203</v>
      </c>
      <c r="T350" s="2" t="s">
        <v>35</v>
      </c>
      <c r="U350" s="2" t="s">
        <v>36</v>
      </c>
    </row>
    <row r="351" customFormat="false" ht="15" hidden="false" customHeight="true" outlineLevel="0" collapsed="false">
      <c r="A351" s="6" t="s">
        <v>1204</v>
      </c>
      <c r="B351" s="6" t="s">
        <v>22</v>
      </c>
      <c r="C351" s="6" t="s">
        <v>159</v>
      </c>
      <c r="D351" s="6"/>
      <c r="E351" s="6" t="s">
        <v>25</v>
      </c>
      <c r="F351" s="6"/>
      <c r="G351" s="6"/>
      <c r="H351" s="6"/>
      <c r="I351" s="6"/>
      <c r="J351" s="6"/>
      <c r="K351" s="6" t="s">
        <v>88</v>
      </c>
      <c r="L351" s="6" t="s">
        <v>267</v>
      </c>
      <c r="M351" s="6"/>
      <c r="N351" s="6"/>
      <c r="O351" s="6" t="s">
        <v>71</v>
      </c>
      <c r="P351" s="1" t="str">
        <f aca="false">IF(H351="Yes",IF(J351="MLS","Pro - MLS",IF(J351="MLS NEXT Pro","Pro - MLS NEXT Pro",IF(J351="USL Championship","Pro - USL Championship",IF(J351="USL League One","Pro - USL League One","Pro - Other")))),IF(H351="No",IF(K351="Amateur / Pre-Professional","Amateur / Pre-Professional","Returned to College"),"Unknown"))</f>
        <v>Unknown</v>
      </c>
      <c r="Q351" s="1" t="str">
        <f aca="false">IF(E351="Yes","Yes","No")</f>
        <v>No</v>
      </c>
      <c r="R351" s="1" t="str">
        <f aca="false">IF(H351="Yes","Yes","No")</f>
        <v>No</v>
      </c>
      <c r="S351" s="2" t="s">
        <v>161</v>
      </c>
      <c r="T351" s="2" t="s">
        <v>35</v>
      </c>
      <c r="U351" s="2" t="s">
        <v>36</v>
      </c>
    </row>
    <row r="352" customFormat="false" ht="15" hidden="false" customHeight="true" outlineLevel="0" collapsed="false">
      <c r="A352" s="6" t="s">
        <v>1205</v>
      </c>
      <c r="B352" s="6" t="s">
        <v>22</v>
      </c>
      <c r="C352" s="6" t="s">
        <v>353</v>
      </c>
      <c r="D352" s="6" t="s">
        <v>387</v>
      </c>
      <c r="E352" s="6" t="s">
        <v>25</v>
      </c>
      <c r="F352" s="6"/>
      <c r="G352" s="6"/>
      <c r="H352" s="6"/>
      <c r="I352" s="6"/>
      <c r="J352" s="6"/>
      <c r="K352" s="6" t="s">
        <v>88</v>
      </c>
      <c r="L352" s="6" t="s">
        <v>43</v>
      </c>
      <c r="M352" s="6"/>
      <c r="N352" s="6"/>
      <c r="O352" s="6" t="s">
        <v>71</v>
      </c>
      <c r="P352" s="1" t="str">
        <f aca="false">IF(H352="Yes",IF(J352="MLS","Pro - MLS",IF(J352="MLS NEXT Pro","Pro - MLS NEXT Pro",IF(J352="USL Championship","Pro - USL Championship",IF(J352="USL League One","Pro - USL League One","Pro - Other")))),IF(H352="No",IF(K352="Amateur / Pre-Professional","Amateur / Pre-Professional","Returned to College"),"Unknown"))</f>
        <v>Unknown</v>
      </c>
      <c r="Q352" s="1" t="str">
        <f aca="false">IF(E352="Yes","Yes","No")</f>
        <v>No</v>
      </c>
      <c r="R352" s="1" t="str">
        <f aca="false">IF(H352="Yes","Yes","No")</f>
        <v>No</v>
      </c>
      <c r="S352" s="2" t="s">
        <v>1206</v>
      </c>
      <c r="T352" s="2" t="s">
        <v>35</v>
      </c>
      <c r="U352" s="2" t="s">
        <v>36</v>
      </c>
    </row>
    <row r="353" customFormat="false" ht="15" hidden="false" customHeight="true" outlineLevel="0" collapsed="false">
      <c r="A353" s="6" t="s">
        <v>1207</v>
      </c>
      <c r="B353" s="6" t="s">
        <v>63</v>
      </c>
      <c r="C353" s="6" t="s">
        <v>420</v>
      </c>
      <c r="D353" s="6"/>
      <c r="E353" s="6" t="s">
        <v>25</v>
      </c>
      <c r="F353" s="6"/>
      <c r="G353" s="6"/>
      <c r="H353" s="6" t="s">
        <v>25</v>
      </c>
      <c r="I353" s="6" t="s">
        <v>420</v>
      </c>
      <c r="J353" s="6" t="s">
        <v>51</v>
      </c>
      <c r="K353" s="6" t="s">
        <v>52</v>
      </c>
      <c r="L353" s="6" t="s">
        <v>53</v>
      </c>
      <c r="M353" s="6" t="s">
        <v>1145</v>
      </c>
      <c r="N353" s="6" t="s">
        <v>1146</v>
      </c>
      <c r="O353" s="6" t="s">
        <v>33</v>
      </c>
      <c r="P353" s="1" t="str">
        <f aca="false">IF(H353="Yes",IF(J353="MLS","Pro - MLS",IF(J353="MLS NEXT Pro","Pro - MLS NEXT Pro",IF(J353="USL Championship","Pro - USL Championship",IF(J353="USL League One","Pro - USL League One","Pro - Other")))),IF(H353="No",IF(K353="Amateur / Pre-Professional","Amateur / Pre-Professional","Returned to College"),"Unknown"))</f>
        <v>Returned to College</v>
      </c>
      <c r="Q353" s="1" t="str">
        <f aca="false">IF(E353="Yes","Yes","No")</f>
        <v>No</v>
      </c>
      <c r="R353" s="1" t="str">
        <f aca="false">IF(H353="Yes","Yes","No")</f>
        <v>No</v>
      </c>
      <c r="S353" s="2" t="s">
        <v>1208</v>
      </c>
      <c r="T353" s="2" t="s">
        <v>35</v>
      </c>
      <c r="U353" s="2" t="s">
        <v>36</v>
      </c>
    </row>
    <row r="354" customFormat="false" ht="15" hidden="false" customHeight="true" outlineLevel="0" collapsed="false">
      <c r="A354" s="6" t="s">
        <v>1209</v>
      </c>
      <c r="B354" s="6" t="s">
        <v>22</v>
      </c>
      <c r="C354" s="6" t="s">
        <v>386</v>
      </c>
      <c r="D354" s="6"/>
      <c r="E354" s="6" t="s">
        <v>25</v>
      </c>
      <c r="F354" s="6"/>
      <c r="G354" s="6"/>
      <c r="H354" s="6" t="s">
        <v>25</v>
      </c>
      <c r="I354" s="6" t="s">
        <v>282</v>
      </c>
      <c r="J354" s="6" t="s">
        <v>51</v>
      </c>
      <c r="K354" s="6" t="s">
        <v>52</v>
      </c>
      <c r="L354" s="6" t="s">
        <v>83</v>
      </c>
      <c r="M354" s="6" t="s">
        <v>1210</v>
      </c>
      <c r="N354" s="6" t="s">
        <v>1211</v>
      </c>
      <c r="O354" s="6" t="s">
        <v>33</v>
      </c>
      <c r="P354" s="1" t="str">
        <f aca="false">IF(H354="Yes",IF(J354="MLS","Pro - MLS",IF(J354="MLS NEXT Pro","Pro - MLS NEXT Pro",IF(J354="USL Championship","Pro - USL Championship",IF(J354="USL League One","Pro - USL League One","Pro - Other")))),IF(H354="No",IF(K354="Amateur / Pre-Professional","Amateur / Pre-Professional","Returned to College"),"Unknown"))</f>
        <v>Returned to College</v>
      </c>
      <c r="Q354" s="1" t="str">
        <f aca="false">IF(E354="Yes","Yes","No")</f>
        <v>No</v>
      </c>
      <c r="R354" s="1" t="str">
        <f aca="false">IF(H354="Yes","Yes","No")</f>
        <v>No</v>
      </c>
      <c r="S354" s="2" t="s">
        <v>456</v>
      </c>
      <c r="T354" s="2" t="s">
        <v>35</v>
      </c>
      <c r="U354" s="2" t="s">
        <v>36</v>
      </c>
    </row>
    <row r="355" customFormat="false" ht="15" hidden="false" customHeight="true" outlineLevel="0" collapsed="false">
      <c r="A355" s="6" t="s">
        <v>1212</v>
      </c>
      <c r="B355" s="6" t="s">
        <v>38</v>
      </c>
      <c r="C355" s="6" t="s">
        <v>214</v>
      </c>
      <c r="D355" s="6" t="s">
        <v>74</v>
      </c>
      <c r="E355" s="6" t="s">
        <v>25</v>
      </c>
      <c r="F355" s="6"/>
      <c r="G355" s="6"/>
      <c r="H355" s="6" t="s">
        <v>25</v>
      </c>
      <c r="I355" s="6" t="s">
        <v>214</v>
      </c>
      <c r="J355" s="6" t="s">
        <v>51</v>
      </c>
      <c r="K355" s="6" t="s">
        <v>52</v>
      </c>
      <c r="L355" s="6" t="s">
        <v>92</v>
      </c>
      <c r="M355" s="6" t="s">
        <v>215</v>
      </c>
      <c r="N355" s="6" t="s">
        <v>1213</v>
      </c>
      <c r="O355" s="6" t="s">
        <v>33</v>
      </c>
      <c r="P355" s="1" t="str">
        <f aca="false">IF(H355="Yes",IF(J355="MLS","Pro - MLS",IF(J355="MLS NEXT Pro","Pro - MLS NEXT Pro",IF(J355="USL Championship","Pro - USL Championship",IF(J355="USL League One","Pro - USL League One","Pro - Other")))),IF(H355="No",IF(K355="Amateur / Pre-Professional","Amateur / Pre-Professional","Returned to College"),"Unknown"))</f>
        <v>Returned to College</v>
      </c>
      <c r="Q355" s="1" t="str">
        <f aca="false">IF(E355="Yes","Yes","No")</f>
        <v>No</v>
      </c>
      <c r="R355" s="1" t="str">
        <f aca="false">IF(H355="Yes","Yes","No")</f>
        <v>No</v>
      </c>
      <c r="S355" s="2" t="s">
        <v>674</v>
      </c>
      <c r="T355" s="2" t="s">
        <v>35</v>
      </c>
      <c r="U355" s="2" t="s">
        <v>36</v>
      </c>
    </row>
    <row r="356" customFormat="false" ht="15" hidden="false" customHeight="true" outlineLevel="0" collapsed="false">
      <c r="A356" s="6" t="s">
        <v>1214</v>
      </c>
      <c r="B356" s="6" t="s">
        <v>63</v>
      </c>
      <c r="C356" s="6" t="s">
        <v>321</v>
      </c>
      <c r="D356" s="6" t="s">
        <v>997</v>
      </c>
      <c r="E356" s="6" t="s">
        <v>25</v>
      </c>
      <c r="F356" s="6"/>
      <c r="G356" s="6"/>
      <c r="H356" s="6" t="s">
        <v>25</v>
      </c>
      <c r="I356" s="6" t="s">
        <v>321</v>
      </c>
      <c r="J356" s="6" t="s">
        <v>51</v>
      </c>
      <c r="K356" s="6" t="s">
        <v>52</v>
      </c>
      <c r="L356" s="6" t="s">
        <v>53</v>
      </c>
      <c r="M356" s="6" t="s">
        <v>1215</v>
      </c>
      <c r="N356" s="6" t="s">
        <v>1216</v>
      </c>
      <c r="O356" s="6" t="s">
        <v>33</v>
      </c>
      <c r="P356" s="1" t="str">
        <f aca="false">IF(H356="Yes",IF(J356="MLS","Pro - MLS",IF(J356="MLS NEXT Pro","Pro - MLS NEXT Pro",IF(J356="USL Championship","Pro - USL Championship",IF(J356="USL League One","Pro - USL League One","Pro - Other")))),IF(H356="No",IF(K356="Amateur / Pre-Professional","Amateur / Pre-Professional","Returned to College"),"Unknown"))</f>
        <v>Returned to College</v>
      </c>
      <c r="Q356" s="1" t="str">
        <f aca="false">IF(E356="Yes","Yes","No")</f>
        <v>No</v>
      </c>
      <c r="R356" s="1" t="str">
        <f aca="false">IF(H356="Yes","Yes","No")</f>
        <v>No</v>
      </c>
      <c r="S356" s="2" t="s">
        <v>1217</v>
      </c>
      <c r="T356" s="2" t="s">
        <v>35</v>
      </c>
      <c r="U356" s="2" t="s">
        <v>36</v>
      </c>
    </row>
    <row r="357" customFormat="false" ht="15" hidden="false" customHeight="true" outlineLevel="0" collapsed="false">
      <c r="A357" s="6" t="s">
        <v>1218</v>
      </c>
      <c r="B357" s="6" t="s">
        <v>63</v>
      </c>
      <c r="C357" s="6" t="s">
        <v>1219</v>
      </c>
      <c r="D357" s="6" t="s">
        <v>1012</v>
      </c>
      <c r="E357" s="6" t="s">
        <v>25</v>
      </c>
      <c r="F357" s="6"/>
      <c r="G357" s="6"/>
      <c r="H357" s="6"/>
      <c r="I357" s="6"/>
      <c r="J357" s="6"/>
      <c r="K357" s="6" t="s">
        <v>88</v>
      </c>
      <c r="L357" s="6" t="s">
        <v>30</v>
      </c>
      <c r="M357" s="6"/>
      <c r="N357" s="6"/>
      <c r="O357" s="6" t="s">
        <v>71</v>
      </c>
      <c r="P357" s="1" t="str">
        <f aca="false">IF(H357="Yes",IF(J357="MLS","Pro - MLS",IF(J357="MLS NEXT Pro","Pro - MLS NEXT Pro",IF(J357="USL Championship","Pro - USL Championship",IF(J357="USL League One","Pro - USL League One","Pro - Other")))),IF(H357="No",IF(K357="Amateur / Pre-Professional","Amateur / Pre-Professional","Returned to College"),"Unknown"))</f>
        <v>Unknown</v>
      </c>
      <c r="Q357" s="1" t="str">
        <f aca="false">IF(E357="Yes","Yes","No")</f>
        <v>No</v>
      </c>
      <c r="R357" s="1" t="str">
        <f aca="false">IF(H357="Yes","Yes","No")</f>
        <v>No</v>
      </c>
      <c r="S357" s="2" t="s">
        <v>1220</v>
      </c>
      <c r="T357" s="2" t="s">
        <v>35</v>
      </c>
      <c r="U357" s="2" t="s">
        <v>36</v>
      </c>
    </row>
    <row r="358" customFormat="false" ht="15" hidden="false" customHeight="true" outlineLevel="0" collapsed="false">
      <c r="A358" s="6" t="s">
        <v>1221</v>
      </c>
      <c r="B358" s="6" t="s">
        <v>38</v>
      </c>
      <c r="C358" s="6" t="s">
        <v>899</v>
      </c>
      <c r="D358" s="6"/>
      <c r="E358" s="6" t="s">
        <v>25</v>
      </c>
      <c r="F358" s="6"/>
      <c r="G358" s="6"/>
      <c r="H358" s="6"/>
      <c r="I358" s="6"/>
      <c r="J358" s="6"/>
      <c r="K358" s="6" t="s">
        <v>88</v>
      </c>
      <c r="L358" s="6" t="s">
        <v>30</v>
      </c>
      <c r="M358" s="6"/>
      <c r="N358" s="6"/>
      <c r="O358" s="6" t="s">
        <v>71</v>
      </c>
      <c r="P358" s="1" t="str">
        <f aca="false">IF(H358="Yes",IF(J358="MLS","Pro - MLS",IF(J358="MLS NEXT Pro","Pro - MLS NEXT Pro",IF(J358="USL Championship","Pro - USL Championship",IF(J358="USL League One","Pro - USL League One","Pro - Other")))),IF(H358="No",IF(K358="Amateur / Pre-Professional","Amateur / Pre-Professional","Returned to College"),"Unknown"))</f>
        <v>Unknown</v>
      </c>
      <c r="Q358" s="1" t="str">
        <f aca="false">IF(E358="Yes","Yes","No")</f>
        <v>No</v>
      </c>
      <c r="R358" s="1" t="str">
        <f aca="false">IF(H358="Yes","Yes","No")</f>
        <v>No</v>
      </c>
      <c r="S358" s="2" t="s">
        <v>1222</v>
      </c>
      <c r="T358" s="2" t="s">
        <v>35</v>
      </c>
      <c r="U358" s="2" t="s">
        <v>36</v>
      </c>
    </row>
    <row r="359" customFormat="false" ht="15" hidden="false" customHeight="true" outlineLevel="0" collapsed="false">
      <c r="A359" s="6" t="s">
        <v>1223</v>
      </c>
      <c r="B359" s="6" t="s">
        <v>63</v>
      </c>
      <c r="C359" s="6" t="s">
        <v>159</v>
      </c>
      <c r="D359" s="6" t="s">
        <v>205</v>
      </c>
      <c r="E359" s="6" t="s">
        <v>25</v>
      </c>
      <c r="F359" s="6"/>
      <c r="G359" s="6"/>
      <c r="H359" s="6" t="s">
        <v>25</v>
      </c>
      <c r="I359" s="6" t="s">
        <v>159</v>
      </c>
      <c r="J359" s="6" t="s">
        <v>51</v>
      </c>
      <c r="K359" s="6" t="s">
        <v>52</v>
      </c>
      <c r="L359" s="6" t="s">
        <v>83</v>
      </c>
      <c r="M359" s="6" t="s">
        <v>509</v>
      </c>
      <c r="N359" s="6" t="s">
        <v>510</v>
      </c>
      <c r="O359" s="6" t="s">
        <v>33</v>
      </c>
      <c r="P359" s="1" t="str">
        <f aca="false">IF(H359="Yes",IF(J359="MLS","Pro - MLS",IF(J359="MLS NEXT Pro","Pro - MLS NEXT Pro",IF(J359="USL Championship","Pro - USL Championship",IF(J359="USL League One","Pro - USL League One","Pro - Other")))),IF(H359="No",IF(K359="Amateur / Pre-Professional","Amateur / Pre-Professional","Returned to College"),"Unknown"))</f>
        <v>Returned to College</v>
      </c>
      <c r="Q359" s="1" t="str">
        <f aca="false">IF(E359="Yes","Yes","No")</f>
        <v>No</v>
      </c>
      <c r="R359" s="1" t="str">
        <f aca="false">IF(H359="Yes","Yes","No")</f>
        <v>No</v>
      </c>
      <c r="S359" s="2" t="s">
        <v>161</v>
      </c>
      <c r="T359" s="2" t="s">
        <v>35</v>
      </c>
      <c r="U359" s="2" t="s">
        <v>36</v>
      </c>
    </row>
    <row r="360" customFormat="false" ht="15" hidden="false" customHeight="true" outlineLevel="0" collapsed="false">
      <c r="A360" s="6" t="s">
        <v>1224</v>
      </c>
      <c r="B360" s="6" t="s">
        <v>63</v>
      </c>
      <c r="C360" s="6" t="s">
        <v>825</v>
      </c>
      <c r="D360" s="6" t="s">
        <v>472</v>
      </c>
      <c r="E360" s="6" t="s">
        <v>25</v>
      </c>
      <c r="F360" s="6"/>
      <c r="G360" s="6"/>
      <c r="H360" s="6" t="s">
        <v>25</v>
      </c>
      <c r="I360" s="6" t="s">
        <v>825</v>
      </c>
      <c r="J360" s="6" t="s">
        <v>51</v>
      </c>
      <c r="K360" s="6" t="s">
        <v>52</v>
      </c>
      <c r="L360" s="6" t="s">
        <v>92</v>
      </c>
      <c r="M360" s="6" t="s">
        <v>826</v>
      </c>
      <c r="N360" s="6" t="s">
        <v>1225</v>
      </c>
      <c r="O360" s="6" t="s">
        <v>33</v>
      </c>
      <c r="P360" s="1" t="str">
        <f aca="false">IF(H360="Yes",IF(J360="MLS","Pro - MLS",IF(J360="MLS NEXT Pro","Pro - MLS NEXT Pro",IF(J360="USL Championship","Pro - USL Championship",IF(J360="USL League One","Pro - USL League One","Pro - Other")))),IF(H360="No",IF(K360="Amateur / Pre-Professional","Amateur / Pre-Professional","Returned to College"),"Unknown"))</f>
        <v>Returned to College</v>
      </c>
      <c r="Q360" s="1" t="str">
        <f aca="false">IF(E360="Yes","Yes","No")</f>
        <v>No</v>
      </c>
      <c r="R360" s="1" t="str">
        <f aca="false">IF(H360="Yes","Yes","No")</f>
        <v>No</v>
      </c>
      <c r="S360" s="2" t="s">
        <v>1226</v>
      </c>
      <c r="T360" s="2" t="s">
        <v>35</v>
      </c>
      <c r="U360" s="2" t="s">
        <v>1227</v>
      </c>
    </row>
    <row r="361" customFormat="false" ht="15" hidden="false" customHeight="true" outlineLevel="0" collapsed="false">
      <c r="A361" s="6" t="s">
        <v>1228</v>
      </c>
      <c r="B361" s="6" t="s">
        <v>22</v>
      </c>
      <c r="C361" s="6" t="s">
        <v>557</v>
      </c>
      <c r="D361" s="6"/>
      <c r="E361" s="6" t="s">
        <v>25</v>
      </c>
      <c r="F361" s="6"/>
      <c r="G361" s="6"/>
      <c r="H361" s="6" t="s">
        <v>25</v>
      </c>
      <c r="I361" s="6" t="s">
        <v>557</v>
      </c>
      <c r="J361" s="6" t="s">
        <v>51</v>
      </c>
      <c r="K361" s="6" t="s">
        <v>52</v>
      </c>
      <c r="L361" s="6" t="s">
        <v>53</v>
      </c>
      <c r="M361" s="6" t="s">
        <v>1229</v>
      </c>
      <c r="N361" s="6" t="s">
        <v>1230</v>
      </c>
      <c r="O361" s="6" t="s">
        <v>33</v>
      </c>
      <c r="P361" s="1" t="str">
        <f aca="false">IF(H361="Yes",IF(J361="MLS","Pro - MLS",IF(J361="MLS NEXT Pro","Pro - MLS NEXT Pro",IF(J361="USL Championship","Pro - USL Championship",IF(J361="USL League One","Pro - USL League One","Pro - Other")))),IF(H361="No",IF(K361="Amateur / Pre-Professional","Amateur / Pre-Professional","Returned to College"),"Unknown"))</f>
        <v>Returned to College</v>
      </c>
      <c r="Q361" s="1" t="str">
        <f aca="false">IF(E361="Yes","Yes","No")</f>
        <v>No</v>
      </c>
      <c r="R361" s="1" t="str">
        <f aca="false">IF(H361="Yes","Yes","No")</f>
        <v>No</v>
      </c>
      <c r="S361" s="2" t="s">
        <v>1229</v>
      </c>
      <c r="T361" s="2" t="s">
        <v>35</v>
      </c>
      <c r="U361" s="2" t="s">
        <v>1231</v>
      </c>
    </row>
    <row r="362" customFormat="false" ht="15" hidden="false" customHeight="true" outlineLevel="0" collapsed="false">
      <c r="A362" s="6" t="s">
        <v>1232</v>
      </c>
      <c r="B362" s="6" t="s">
        <v>63</v>
      </c>
      <c r="C362" s="6" t="s">
        <v>1114</v>
      </c>
      <c r="D362" s="6"/>
      <c r="E362" s="6" t="s">
        <v>25</v>
      </c>
      <c r="F362" s="6"/>
      <c r="G362" s="6"/>
      <c r="H362" s="6"/>
      <c r="I362" s="6"/>
      <c r="J362" s="6"/>
      <c r="K362" s="6" t="s">
        <v>88</v>
      </c>
      <c r="L362" s="6" t="s">
        <v>30</v>
      </c>
      <c r="M362" s="6"/>
      <c r="N362" s="6"/>
      <c r="O362" s="6" t="s">
        <v>71</v>
      </c>
      <c r="P362" s="1" t="str">
        <f aca="false">IF(H362="Yes",IF(J362="MLS","Pro - MLS",IF(J362="MLS NEXT Pro","Pro - MLS NEXT Pro",IF(J362="USL Championship","Pro - USL Championship",IF(J362="USL League One","Pro - USL League One","Pro - Other")))),IF(H362="No",IF(K362="Amateur / Pre-Professional","Amateur / Pre-Professional","Returned to College"),"Unknown"))</f>
        <v>Unknown</v>
      </c>
      <c r="Q362" s="1" t="str">
        <f aca="false">IF(E362="Yes","Yes","No")</f>
        <v>No</v>
      </c>
      <c r="R362" s="1" t="str">
        <f aca="false">IF(H362="Yes","Yes","No")</f>
        <v>No</v>
      </c>
      <c r="S362" s="2" t="s">
        <v>1116</v>
      </c>
      <c r="T362" s="2" t="s">
        <v>35</v>
      </c>
      <c r="U362" s="2" t="s">
        <v>36</v>
      </c>
    </row>
    <row r="363" customFormat="false" ht="27.75" hidden="false" customHeight="true" outlineLevel="0" collapsed="false">
      <c r="A363" s="6" t="s">
        <v>1233</v>
      </c>
      <c r="B363" s="6" t="s">
        <v>48</v>
      </c>
      <c r="C363" s="6" t="s">
        <v>140</v>
      </c>
      <c r="D363" s="6"/>
      <c r="E363" s="6" t="s">
        <v>25</v>
      </c>
      <c r="F363" s="6"/>
      <c r="G363" s="6"/>
      <c r="H363" s="6"/>
      <c r="I363" s="6"/>
      <c r="J363" s="6"/>
      <c r="K363" s="6" t="s">
        <v>88</v>
      </c>
      <c r="L363" s="6" t="s">
        <v>30</v>
      </c>
      <c r="M363" s="6"/>
      <c r="N363" s="6"/>
      <c r="O363" s="6" t="s">
        <v>71</v>
      </c>
      <c r="P363" s="1" t="str">
        <f aca="false">IF(H363="Yes",IF(J363="MLS","Pro - MLS",IF(J363="MLS NEXT Pro","Pro - MLS NEXT Pro",IF(J363="USL Championship","Pro - USL Championship",IF(J363="USL League One","Pro - USL League One","Pro - Other")))),IF(H363="No",IF(K363="Amateur / Pre-Professional","Amateur / Pre-Professional","Returned to College"),"Unknown"))</f>
        <v>Unknown</v>
      </c>
      <c r="Q363" s="1" t="str">
        <f aca="false">IF(E363="Yes","Yes","No")</f>
        <v>No</v>
      </c>
      <c r="R363" s="1" t="str">
        <f aca="false">IF(H363="Yes","Yes","No")</f>
        <v>No</v>
      </c>
      <c r="S363" s="2" t="s">
        <v>143</v>
      </c>
      <c r="T363" s="2" t="s">
        <v>35</v>
      </c>
      <c r="U363" s="2" t="s">
        <v>36</v>
      </c>
    </row>
    <row r="364" customFormat="false" ht="15" hidden="false" customHeight="true" outlineLevel="0" collapsed="false">
      <c r="A364" s="6" t="s">
        <v>1234</v>
      </c>
      <c r="B364" s="6" t="s">
        <v>48</v>
      </c>
      <c r="C364" s="6" t="s">
        <v>1152</v>
      </c>
      <c r="D364" s="6" t="s">
        <v>66</v>
      </c>
      <c r="E364" s="6" t="s">
        <v>25</v>
      </c>
      <c r="F364" s="6"/>
      <c r="G364" s="6"/>
      <c r="H364" s="6"/>
      <c r="I364" s="6"/>
      <c r="J364" s="6"/>
      <c r="K364" s="6" t="s">
        <v>88</v>
      </c>
      <c r="L364" s="6" t="s">
        <v>30</v>
      </c>
      <c r="M364" s="6"/>
      <c r="N364" s="6"/>
      <c r="O364" s="6" t="s">
        <v>71</v>
      </c>
      <c r="P364" s="1" t="str">
        <f aca="false">IF(H364="Yes",IF(J364="MLS","Pro - MLS",IF(J364="MLS NEXT Pro","Pro - MLS NEXT Pro",IF(J364="USL Championship","Pro - USL Championship",IF(J364="USL League One","Pro - USL League One","Pro - Other")))),IF(H364="No",IF(K364="Amateur / Pre-Professional","Amateur / Pre-Professional","Returned to College"),"Unknown"))</f>
        <v>Unknown</v>
      </c>
      <c r="Q364" s="1" t="str">
        <f aca="false">IF(E364="Yes","Yes","No")</f>
        <v>No</v>
      </c>
      <c r="R364" s="1" t="str">
        <f aca="false">IF(H364="Yes","Yes","No")</f>
        <v>No</v>
      </c>
      <c r="S364" s="2" t="s">
        <v>1153</v>
      </c>
      <c r="T364" s="2" t="s">
        <v>35</v>
      </c>
      <c r="U364" s="2" t="s">
        <v>36</v>
      </c>
    </row>
    <row r="365" customFormat="false" ht="15" hidden="false" customHeight="true" outlineLevel="0" collapsed="false">
      <c r="A365" s="6" t="s">
        <v>1235</v>
      </c>
      <c r="B365" s="6" t="s">
        <v>48</v>
      </c>
      <c r="C365" s="6" t="s">
        <v>653</v>
      </c>
      <c r="D365" s="6"/>
      <c r="E365" s="6" t="s">
        <v>25</v>
      </c>
      <c r="F365" s="6"/>
      <c r="G365" s="6"/>
      <c r="H365" s="6" t="s">
        <v>25</v>
      </c>
      <c r="I365" s="6" t="s">
        <v>653</v>
      </c>
      <c r="J365" s="6" t="s">
        <v>51</v>
      </c>
      <c r="K365" s="6" t="s">
        <v>52</v>
      </c>
      <c r="L365" s="6" t="s">
        <v>83</v>
      </c>
      <c r="M365" s="6" t="s">
        <v>655</v>
      </c>
      <c r="N365" s="6" t="s">
        <v>1236</v>
      </c>
      <c r="O365" s="6" t="s">
        <v>33</v>
      </c>
      <c r="P365" s="1" t="str">
        <f aca="false">IF(H365="Yes",IF(J365="MLS","Pro - MLS",IF(J365="MLS NEXT Pro","Pro - MLS NEXT Pro",IF(J365="USL Championship","Pro - USL Championship",IF(J365="USL League One","Pro - USL League One","Pro - Other")))),IF(H365="No",IF(K365="Amateur / Pre-Professional","Amateur / Pre-Professional","Returned to College"),"Unknown"))</f>
        <v>Returned to College</v>
      </c>
      <c r="Q365" s="1" t="str">
        <f aca="false">IF(E365="Yes","Yes","No")</f>
        <v>No</v>
      </c>
      <c r="R365" s="1" t="str">
        <f aca="false">IF(H365="Yes","Yes","No")</f>
        <v>No</v>
      </c>
      <c r="S365" s="2" t="s">
        <v>676</v>
      </c>
      <c r="T365" s="2" t="s">
        <v>35</v>
      </c>
      <c r="U365" s="2" t="s">
        <v>36</v>
      </c>
    </row>
    <row r="366" customFormat="false" ht="15" hidden="false" customHeight="true" outlineLevel="0" collapsed="false">
      <c r="A366" s="6" t="s">
        <v>1237</v>
      </c>
      <c r="B366" s="6" t="s">
        <v>22</v>
      </c>
      <c r="C366" s="6" t="s">
        <v>1238</v>
      </c>
      <c r="D366" s="6"/>
      <c r="E366" s="6" t="s">
        <v>25</v>
      </c>
      <c r="F366" s="6"/>
      <c r="G366" s="6"/>
      <c r="H366" s="6"/>
      <c r="I366" s="6"/>
      <c r="J366" s="6"/>
      <c r="K366" s="6" t="s">
        <v>88</v>
      </c>
      <c r="L366" s="6" t="s">
        <v>30</v>
      </c>
      <c r="M366" s="6"/>
      <c r="N366" s="6"/>
      <c r="O366" s="6" t="s">
        <v>71</v>
      </c>
      <c r="P366" s="1" t="str">
        <f aca="false">IF(H366="Yes",IF(J366="MLS","Pro - MLS",IF(J366="MLS NEXT Pro","Pro - MLS NEXT Pro",IF(J366="USL Championship","Pro - USL Championship",IF(J366="USL League One","Pro - USL League One","Pro - Other")))),IF(H366="No",IF(K366="Amateur / Pre-Professional","Amateur / Pre-Professional","Returned to College"),"Unknown"))</f>
        <v>Unknown</v>
      </c>
      <c r="Q366" s="1" t="str">
        <f aca="false">IF(E366="Yes","Yes","No")</f>
        <v>No</v>
      </c>
      <c r="R366" s="1" t="str">
        <f aca="false">IF(H366="Yes","Yes","No")</f>
        <v>No</v>
      </c>
      <c r="S366" s="2" t="s">
        <v>1239</v>
      </c>
      <c r="T366" s="2" t="s">
        <v>35</v>
      </c>
      <c r="U366" s="2" t="s">
        <v>36</v>
      </c>
    </row>
    <row r="367" customFormat="false" ht="27.75" hidden="false" customHeight="true" outlineLevel="0" collapsed="false">
      <c r="A367" s="6" t="s">
        <v>1240</v>
      </c>
      <c r="B367" s="6" t="s">
        <v>38</v>
      </c>
      <c r="C367" s="6" t="s">
        <v>1241</v>
      </c>
      <c r="D367" s="6"/>
      <c r="E367" s="6" t="s">
        <v>26</v>
      </c>
      <c r="F367" s="6" t="n">
        <v>81</v>
      </c>
      <c r="G367" s="6" t="s">
        <v>465</v>
      </c>
      <c r="H367" s="6" t="s">
        <v>131</v>
      </c>
      <c r="I367" s="6"/>
      <c r="J367" s="6"/>
      <c r="K367" s="6" t="s">
        <v>132</v>
      </c>
      <c r="L367" s="6" t="s">
        <v>30</v>
      </c>
      <c r="M367" s="6" t="s">
        <v>133</v>
      </c>
      <c r="N367" s="6" t="s">
        <v>134</v>
      </c>
      <c r="O367" s="6" t="s">
        <v>71</v>
      </c>
      <c r="P367" s="1" t="str">
        <f aca="false">IF(H367="Yes",IF(J367="MLS","Pro - MLS",IF(J367="MLS NEXT Pro","Pro - MLS NEXT Pro",IF(J367="USL Championship","Pro - USL Championship",IF(J367="USL League One","Pro - USL League One","Pro - Other")))),IF(H367="No",IF(K367="Amateur / Pre-Professional","Amateur / Pre-Professional","Returned to College"),"Unknown"))</f>
        <v>Unknown</v>
      </c>
      <c r="Q367" s="1" t="str">
        <f aca="false">IF(E367="Yes","Yes","No")</f>
        <v>Yes</v>
      </c>
      <c r="R367" s="1" t="str">
        <f aca="false">IF(H367="Yes","Yes","No")</f>
        <v>No</v>
      </c>
      <c r="U367" s="2" t="s">
        <v>56</v>
      </c>
    </row>
    <row r="368" customFormat="false" ht="15" hidden="false" customHeight="true" outlineLevel="0" collapsed="false">
      <c r="A368" s="6" t="s">
        <v>1242</v>
      </c>
      <c r="B368" s="6" t="s">
        <v>48</v>
      </c>
      <c r="C368" s="6" t="s">
        <v>1243</v>
      </c>
      <c r="D368" s="6"/>
      <c r="E368" s="6" t="s">
        <v>25</v>
      </c>
      <c r="F368" s="6"/>
      <c r="G368" s="6"/>
      <c r="H368" s="6"/>
      <c r="I368" s="6"/>
      <c r="J368" s="6"/>
      <c r="K368" s="6" t="s">
        <v>88</v>
      </c>
      <c r="L368" s="6" t="s">
        <v>83</v>
      </c>
      <c r="M368" s="6"/>
      <c r="N368" s="6"/>
      <c r="O368" s="6" t="s">
        <v>71</v>
      </c>
      <c r="P368" s="1" t="str">
        <f aca="false">IF(H368="Yes",IF(J368="MLS","Pro - MLS",IF(J368="MLS NEXT Pro","Pro - MLS NEXT Pro",IF(J368="USL Championship","Pro - USL Championship",IF(J368="USL League One","Pro - USL League One","Pro - Other")))),IF(H368="No",IF(K368="Amateur / Pre-Professional","Amateur / Pre-Professional","Returned to College"),"Unknown"))</f>
        <v>Unknown</v>
      </c>
      <c r="Q368" s="1" t="str">
        <f aca="false">IF(E368="Yes","Yes","No")</f>
        <v>No</v>
      </c>
      <c r="R368" s="1" t="str">
        <f aca="false">IF(H368="Yes","Yes","No")</f>
        <v>No</v>
      </c>
      <c r="S368" s="2" t="s">
        <v>1244</v>
      </c>
      <c r="T368" s="2" t="s">
        <v>35</v>
      </c>
      <c r="U368" s="2" t="s">
        <v>1245</v>
      </c>
    </row>
    <row r="369" customFormat="false" ht="27.75" hidden="false" customHeight="true" outlineLevel="0" collapsed="false">
      <c r="A369" s="6" t="s">
        <v>1246</v>
      </c>
      <c r="B369" s="6" t="s">
        <v>22</v>
      </c>
      <c r="C369" s="6" t="s">
        <v>250</v>
      </c>
      <c r="D369" s="6"/>
      <c r="E369" s="6" t="s">
        <v>26</v>
      </c>
      <c r="F369" s="6" t="n">
        <v>3</v>
      </c>
      <c r="G369" s="6" t="s">
        <v>271</v>
      </c>
      <c r="H369" s="6" t="s">
        <v>26</v>
      </c>
      <c r="I369" s="6" t="s">
        <v>271</v>
      </c>
      <c r="J369" s="6" t="s">
        <v>67</v>
      </c>
      <c r="K369" s="6" t="s">
        <v>29</v>
      </c>
      <c r="L369" s="6" t="s">
        <v>68</v>
      </c>
      <c r="M369" s="6" t="s">
        <v>69</v>
      </c>
      <c r="N369" s="6" t="s">
        <v>70</v>
      </c>
      <c r="O369" s="6" t="s">
        <v>71</v>
      </c>
      <c r="P369" s="1" t="str">
        <f aca="false">IF(H369="Yes",IF(J369="MLS","Pro - MLS",IF(J369="MLS NEXT Pro","Pro - MLS NEXT Pro",IF(J369="USL Championship","Pro - USL Championship",IF(J369="USL League One","Pro - USL League One","Pro - Other")))),IF(H369="No",IF(K369="Amateur / Pre-Professional","Amateur / Pre-Professional","Returned to College"),"Unknown"))</f>
        <v>Pro - MLS</v>
      </c>
      <c r="Q369" s="1" t="str">
        <f aca="false">IF(E369="Yes","Yes","No")</f>
        <v>Yes</v>
      </c>
      <c r="R369" s="1" t="str">
        <f aca="false">IF(H369="Yes","Yes","No")</f>
        <v>Yes</v>
      </c>
      <c r="U369" s="2" t="s">
        <v>56</v>
      </c>
    </row>
    <row r="370" customFormat="false" ht="15" hidden="false" customHeight="true" outlineLevel="0" collapsed="false">
      <c r="A370" s="6" t="s">
        <v>1247</v>
      </c>
      <c r="B370" s="6" t="s">
        <v>48</v>
      </c>
      <c r="C370" s="6" t="s">
        <v>246</v>
      </c>
      <c r="D370" s="6"/>
      <c r="E370" s="6" t="s">
        <v>25</v>
      </c>
      <c r="F370" s="6"/>
      <c r="G370" s="6"/>
      <c r="H370" s="6" t="s">
        <v>25</v>
      </c>
      <c r="I370" s="6" t="s">
        <v>246</v>
      </c>
      <c r="J370" s="6" t="s">
        <v>51</v>
      </c>
      <c r="K370" s="6" t="s">
        <v>52</v>
      </c>
      <c r="L370" s="6" t="s">
        <v>83</v>
      </c>
      <c r="M370" s="6" t="s">
        <v>247</v>
      </c>
      <c r="N370" s="6" t="s">
        <v>1248</v>
      </c>
      <c r="O370" s="6" t="s">
        <v>33</v>
      </c>
      <c r="P370" s="1" t="str">
        <f aca="false">IF(H370="Yes",IF(J370="MLS","Pro - MLS",IF(J370="MLS NEXT Pro","Pro - MLS NEXT Pro",IF(J370="USL Championship","Pro - USL Championship",IF(J370="USL League One","Pro - USL League One","Pro - Other")))),IF(H370="No",IF(K370="Amateur / Pre-Professional","Amateur / Pre-Professional","Returned to College"),"Unknown"))</f>
        <v>Returned to College</v>
      </c>
      <c r="Q370" s="1" t="str">
        <f aca="false">IF(E370="Yes","Yes","No")</f>
        <v>No</v>
      </c>
      <c r="R370" s="1" t="str">
        <f aca="false">IF(H370="Yes","Yes","No")</f>
        <v>No</v>
      </c>
      <c r="S370" s="2" t="s">
        <v>1162</v>
      </c>
      <c r="T370" s="2" t="s">
        <v>35</v>
      </c>
      <c r="U370" s="2" t="s">
        <v>36</v>
      </c>
    </row>
    <row r="371" customFormat="false" ht="27.75" hidden="false" customHeight="true" outlineLevel="0" collapsed="false">
      <c r="A371" s="6" t="s">
        <v>1249</v>
      </c>
      <c r="B371" s="6" t="s">
        <v>22</v>
      </c>
      <c r="C371" s="6" t="s">
        <v>420</v>
      </c>
      <c r="D371" s="6" t="s">
        <v>1250</v>
      </c>
      <c r="E371" s="6" t="s">
        <v>25</v>
      </c>
      <c r="F371" s="6"/>
      <c r="G371" s="6"/>
      <c r="H371" s="6" t="s">
        <v>25</v>
      </c>
      <c r="I371" s="6" t="s">
        <v>420</v>
      </c>
      <c r="J371" s="6" t="s">
        <v>51</v>
      </c>
      <c r="K371" s="6" t="s">
        <v>52</v>
      </c>
      <c r="L371" s="6" t="s">
        <v>53</v>
      </c>
      <c r="M371" s="6" t="s">
        <v>1145</v>
      </c>
      <c r="N371" s="6" t="s">
        <v>1146</v>
      </c>
      <c r="O371" s="6" t="s">
        <v>33</v>
      </c>
      <c r="P371" s="1" t="str">
        <f aca="false">IF(H371="Yes",IF(J371="MLS","Pro - MLS",IF(J371="MLS NEXT Pro","Pro - MLS NEXT Pro",IF(J371="USL Championship","Pro - USL Championship",IF(J371="USL League One","Pro - USL League One","Pro - Other")))),IF(H371="No",IF(K371="Amateur / Pre-Professional","Amateur / Pre-Professional","Returned to College"),"Unknown"))</f>
        <v>Returned to College</v>
      </c>
      <c r="Q371" s="1" t="str">
        <f aca="false">IF(E371="Yes","Yes","No")</f>
        <v>No</v>
      </c>
      <c r="R371" s="1" t="str">
        <f aca="false">IF(H371="Yes","Yes","No")</f>
        <v>No</v>
      </c>
      <c r="S371" s="2" t="s">
        <v>1251</v>
      </c>
      <c r="T371" s="2" t="s">
        <v>35</v>
      </c>
      <c r="U371" s="2" t="s">
        <v>36</v>
      </c>
    </row>
    <row r="372" customFormat="false" ht="27.75" hidden="false" customHeight="true" outlineLevel="0" collapsed="false">
      <c r="A372" s="6" t="s">
        <v>1252</v>
      </c>
      <c r="B372" s="6" t="s">
        <v>48</v>
      </c>
      <c r="C372" s="6" t="s">
        <v>266</v>
      </c>
      <c r="D372" s="6"/>
      <c r="E372" s="6" t="s">
        <v>26</v>
      </c>
      <c r="F372" s="6" t="n">
        <v>48</v>
      </c>
      <c r="G372" s="6" t="s">
        <v>137</v>
      </c>
      <c r="H372" s="6" t="s">
        <v>25</v>
      </c>
      <c r="I372" s="6" t="s">
        <v>266</v>
      </c>
      <c r="J372" s="6" t="s">
        <v>51</v>
      </c>
      <c r="K372" s="6" t="s">
        <v>52</v>
      </c>
      <c r="L372" s="6" t="s">
        <v>30</v>
      </c>
      <c r="M372" s="6" t="s">
        <v>1253</v>
      </c>
      <c r="N372" s="6" t="s">
        <v>1254</v>
      </c>
      <c r="O372" s="6" t="s">
        <v>33</v>
      </c>
      <c r="P372" s="1" t="str">
        <f aca="false">IF(H372="Yes",IF(J372="MLS","Pro - MLS",IF(J372="MLS NEXT Pro","Pro - MLS NEXT Pro",IF(J372="USL Championship","Pro - USL Championship",IF(J372="USL League One","Pro - USL League One","Pro - Other")))),IF(H372="No",IF(K372="Amateur / Pre-Professional","Amateur / Pre-Professional","Returned to College"),"Unknown"))</f>
        <v>Returned to College</v>
      </c>
      <c r="Q372" s="1" t="str">
        <f aca="false">IF(E372="Yes","Yes","No")</f>
        <v>Yes</v>
      </c>
      <c r="R372" s="1" t="str">
        <f aca="false">IF(H372="Yes","Yes","No")</f>
        <v>No</v>
      </c>
      <c r="U372" s="2" t="s">
        <v>56</v>
      </c>
    </row>
    <row r="373" customFormat="false" ht="15" hidden="false" customHeight="true" outlineLevel="0" collapsed="false">
      <c r="A373" s="6" t="s">
        <v>1255</v>
      </c>
      <c r="B373" s="6" t="s">
        <v>22</v>
      </c>
      <c r="C373" s="6" t="s">
        <v>357</v>
      </c>
      <c r="D373" s="6"/>
      <c r="E373" s="6" t="s">
        <v>25</v>
      </c>
      <c r="F373" s="6"/>
      <c r="G373" s="6"/>
      <c r="H373" s="6" t="s">
        <v>25</v>
      </c>
      <c r="I373" s="6" t="s">
        <v>357</v>
      </c>
      <c r="J373" s="6" t="s">
        <v>51</v>
      </c>
      <c r="K373" s="6" t="s">
        <v>52</v>
      </c>
      <c r="L373" s="6" t="s">
        <v>53</v>
      </c>
      <c r="M373" s="6" t="s">
        <v>722</v>
      </c>
      <c r="N373" s="6" t="s">
        <v>863</v>
      </c>
      <c r="O373" s="6" t="s">
        <v>33</v>
      </c>
      <c r="P373" s="1" t="str">
        <f aca="false">IF(H373="Yes",IF(J373="MLS","Pro - MLS",IF(J373="MLS NEXT Pro","Pro - MLS NEXT Pro",IF(J373="USL Championship","Pro - USL Championship",IF(J373="USL League One","Pro - USL League One","Pro - Other")))),IF(H373="No",IF(K373="Amateur / Pre-Professional","Amateur / Pre-Professional","Returned to College"),"Unknown"))</f>
        <v>Returned to College</v>
      </c>
      <c r="Q373" s="1" t="str">
        <f aca="false">IF(E373="Yes","Yes","No")</f>
        <v>No</v>
      </c>
      <c r="R373" s="1" t="str">
        <f aca="false">IF(H373="Yes","Yes","No")</f>
        <v>No</v>
      </c>
      <c r="U373" s="2" t="s">
        <v>56</v>
      </c>
    </row>
    <row r="374" customFormat="false" ht="15" hidden="false" customHeight="true" outlineLevel="0" collapsed="false">
      <c r="A374" s="6" t="s">
        <v>1256</v>
      </c>
      <c r="B374" s="6" t="s">
        <v>48</v>
      </c>
      <c r="C374" s="6" t="s">
        <v>440</v>
      </c>
      <c r="D374" s="6"/>
      <c r="E374" s="6" t="s">
        <v>25</v>
      </c>
      <c r="F374" s="6"/>
      <c r="G374" s="6"/>
      <c r="H374" s="6" t="s">
        <v>25</v>
      </c>
      <c r="I374" s="6" t="s">
        <v>440</v>
      </c>
      <c r="J374" s="6" t="s">
        <v>51</v>
      </c>
      <c r="K374" s="6" t="s">
        <v>52</v>
      </c>
      <c r="L374" s="6" t="s">
        <v>83</v>
      </c>
      <c r="M374" s="6" t="s">
        <v>914</v>
      </c>
      <c r="N374" s="6" t="s">
        <v>1257</v>
      </c>
      <c r="O374" s="6" t="s">
        <v>33</v>
      </c>
      <c r="P374" s="1" t="str">
        <f aca="false">IF(H374="Yes",IF(J374="MLS","Pro - MLS",IF(J374="MLS NEXT Pro","Pro - MLS NEXT Pro",IF(J374="USL Championship","Pro - USL Championship",IF(J374="USL League One","Pro - USL League One","Pro - Other")))),IF(H374="No",IF(K374="Amateur / Pre-Professional","Amateur / Pre-Professional","Returned to College"),"Unknown"))</f>
        <v>Returned to College</v>
      </c>
      <c r="Q374" s="1" t="str">
        <f aca="false">IF(E374="Yes","Yes","No")</f>
        <v>No</v>
      </c>
      <c r="R374" s="1" t="str">
        <f aca="false">IF(H374="Yes","Yes","No")</f>
        <v>No</v>
      </c>
      <c r="S374" s="2" t="s">
        <v>1258</v>
      </c>
      <c r="T374" s="2" t="s">
        <v>35</v>
      </c>
      <c r="U374" s="2" t="s">
        <v>36</v>
      </c>
    </row>
    <row r="375" customFormat="false" ht="27.75" hidden="false" customHeight="true" outlineLevel="0" collapsed="false">
      <c r="A375" s="6" t="s">
        <v>1259</v>
      </c>
      <c r="B375" s="6" t="s">
        <v>22</v>
      </c>
      <c r="C375" s="6" t="s">
        <v>606</v>
      </c>
      <c r="D375" s="6"/>
      <c r="E375" s="6" t="s">
        <v>25</v>
      </c>
      <c r="F375" s="6"/>
      <c r="G375" s="6"/>
      <c r="H375" s="6"/>
      <c r="I375" s="6"/>
      <c r="J375" s="6"/>
      <c r="K375" s="6" t="s">
        <v>88</v>
      </c>
      <c r="L375" s="6" t="s">
        <v>83</v>
      </c>
      <c r="M375" s="6"/>
      <c r="N375" s="6"/>
      <c r="O375" s="6" t="s">
        <v>71</v>
      </c>
      <c r="P375" s="1" t="str">
        <f aca="false">IF(H375="Yes",IF(J375="MLS","Pro - MLS",IF(J375="MLS NEXT Pro","Pro - MLS NEXT Pro",IF(J375="USL Championship","Pro - USL Championship",IF(J375="USL League One","Pro - USL League One","Pro - Other")))),IF(H375="No",IF(K375="Amateur / Pre-Professional","Amateur / Pre-Professional","Returned to College"),"Unknown"))</f>
        <v>Unknown</v>
      </c>
      <c r="Q375" s="1" t="str">
        <f aca="false">IF(E375="Yes","Yes","No")</f>
        <v>No</v>
      </c>
      <c r="R375" s="1" t="str">
        <f aca="false">IF(H375="Yes","Yes","No")</f>
        <v>No</v>
      </c>
      <c r="S375" s="2" t="s">
        <v>1260</v>
      </c>
      <c r="T375" s="2" t="s">
        <v>35</v>
      </c>
      <c r="U375" s="2" t="s">
        <v>36</v>
      </c>
    </row>
    <row r="376" customFormat="false" ht="15" hidden="false" customHeight="true" outlineLevel="0" collapsed="false">
      <c r="A376" s="6" t="s">
        <v>1261</v>
      </c>
      <c r="B376" s="6" t="s">
        <v>22</v>
      </c>
      <c r="C376" s="6" t="s">
        <v>321</v>
      </c>
      <c r="D376" s="6"/>
      <c r="E376" s="6" t="s">
        <v>25</v>
      </c>
      <c r="F376" s="6"/>
      <c r="G376" s="6"/>
      <c r="H376" s="6" t="s">
        <v>25</v>
      </c>
      <c r="I376" s="6" t="s">
        <v>321</v>
      </c>
      <c r="J376" s="6" t="s">
        <v>51</v>
      </c>
      <c r="K376" s="6" t="s">
        <v>52</v>
      </c>
      <c r="L376" s="6" t="s">
        <v>83</v>
      </c>
      <c r="M376" s="6" t="s">
        <v>1262</v>
      </c>
      <c r="N376" s="6" t="s">
        <v>1263</v>
      </c>
      <c r="O376" s="6" t="s">
        <v>33</v>
      </c>
      <c r="P376" s="1" t="str">
        <f aca="false">IF(H376="Yes",IF(J376="MLS","Pro - MLS",IF(J376="MLS NEXT Pro","Pro - MLS NEXT Pro",IF(J376="USL Championship","Pro - USL Championship",IF(J376="USL League One","Pro - USL League One","Pro - Other")))),IF(H376="No",IF(K376="Amateur / Pre-Professional","Amateur / Pre-Professional","Returned to College"),"Unknown"))</f>
        <v>Returned to College</v>
      </c>
      <c r="Q376" s="1" t="str">
        <f aca="false">IF(E376="Yes","Yes","No")</f>
        <v>No</v>
      </c>
      <c r="R376" s="1" t="str">
        <f aca="false">IF(H376="Yes","Yes","No")</f>
        <v>No</v>
      </c>
      <c r="S376" s="2" t="s">
        <v>1262</v>
      </c>
      <c r="T376" s="2" t="s">
        <v>35</v>
      </c>
      <c r="U376" s="2" t="s">
        <v>36</v>
      </c>
    </row>
    <row r="377" customFormat="false" ht="27.75" hidden="false" customHeight="true" outlineLevel="0" collapsed="false">
      <c r="A377" s="6" t="s">
        <v>1264</v>
      </c>
      <c r="B377" s="6" t="s">
        <v>63</v>
      </c>
      <c r="C377" s="6" t="s">
        <v>789</v>
      </c>
      <c r="D377" s="6"/>
      <c r="E377" s="6" t="s">
        <v>25</v>
      </c>
      <c r="F377" s="6"/>
      <c r="G377" s="6"/>
      <c r="H377" s="6" t="s">
        <v>25</v>
      </c>
      <c r="I377" s="6" t="s">
        <v>789</v>
      </c>
      <c r="J377" s="6" t="s">
        <v>51</v>
      </c>
      <c r="K377" s="6" t="s">
        <v>52</v>
      </c>
      <c r="L377" s="6" t="s">
        <v>83</v>
      </c>
      <c r="M377" s="6" t="s">
        <v>790</v>
      </c>
      <c r="N377" s="6" t="s">
        <v>1265</v>
      </c>
      <c r="O377" s="6" t="s">
        <v>33</v>
      </c>
      <c r="P377" s="1" t="str">
        <f aca="false">IF(H377="Yes",IF(J377="MLS","Pro - MLS",IF(J377="MLS NEXT Pro","Pro - MLS NEXT Pro",IF(J377="USL Championship","Pro - USL Championship",IF(J377="USL League One","Pro - USL League One","Pro - Other")))),IF(H377="No",IF(K377="Amateur / Pre-Professional","Amateur / Pre-Professional","Returned to College"),"Unknown"))</f>
        <v>Returned to College</v>
      </c>
      <c r="Q377" s="1" t="str">
        <f aca="false">IF(E377="Yes","Yes","No")</f>
        <v>No</v>
      </c>
      <c r="R377" s="1" t="str">
        <f aca="false">IF(H377="Yes","Yes","No")</f>
        <v>No</v>
      </c>
      <c r="S377" s="2" t="s">
        <v>1266</v>
      </c>
      <c r="T377" s="2" t="s">
        <v>35</v>
      </c>
      <c r="U377" s="2" t="s">
        <v>36</v>
      </c>
    </row>
    <row r="378" customFormat="false" ht="15" hidden="false" customHeight="true" outlineLevel="0" collapsed="false">
      <c r="A378" s="6" t="s">
        <v>1267</v>
      </c>
      <c r="B378" s="6" t="s">
        <v>48</v>
      </c>
      <c r="C378" s="6" t="s">
        <v>1243</v>
      </c>
      <c r="D378" s="6" t="s">
        <v>601</v>
      </c>
      <c r="E378" s="6" t="s">
        <v>25</v>
      </c>
      <c r="F378" s="6"/>
      <c r="G378" s="6"/>
      <c r="H378" s="6"/>
      <c r="I378" s="6"/>
      <c r="J378" s="6"/>
      <c r="K378" s="6" t="s">
        <v>88</v>
      </c>
      <c r="L378" s="6" t="s">
        <v>30</v>
      </c>
      <c r="M378" s="6"/>
      <c r="N378" s="6"/>
      <c r="O378" s="6" t="s">
        <v>71</v>
      </c>
      <c r="P378" s="1" t="str">
        <f aca="false">IF(H378="Yes",IF(J378="MLS","Pro - MLS",IF(J378="MLS NEXT Pro","Pro - MLS NEXT Pro",IF(J378="USL Championship","Pro - USL Championship",IF(J378="USL League One","Pro - USL League One","Pro - Other")))),IF(H378="No",IF(K378="Amateur / Pre-Professional","Amateur / Pre-Professional","Returned to College"),"Unknown"))</f>
        <v>Unknown</v>
      </c>
      <c r="Q378" s="1" t="str">
        <f aca="false">IF(E378="Yes","Yes","No")</f>
        <v>No</v>
      </c>
      <c r="R378" s="1" t="str">
        <f aca="false">IF(H378="Yes","Yes","No")</f>
        <v>No</v>
      </c>
      <c r="S378" s="2" t="s">
        <v>1268</v>
      </c>
      <c r="T378" s="2" t="s">
        <v>35</v>
      </c>
      <c r="U378" s="2" t="s">
        <v>1245</v>
      </c>
    </row>
    <row r="379" customFormat="false" ht="15" hidden="false" customHeight="true" outlineLevel="0" collapsed="false">
      <c r="A379" s="6" t="s">
        <v>1269</v>
      </c>
      <c r="B379" s="6" t="s">
        <v>22</v>
      </c>
      <c r="C379" s="6" t="s">
        <v>769</v>
      </c>
      <c r="D379" s="6"/>
      <c r="E379" s="6" t="s">
        <v>25</v>
      </c>
      <c r="F379" s="6"/>
      <c r="G379" s="6"/>
      <c r="H379" s="6" t="s">
        <v>25</v>
      </c>
      <c r="I379" s="6" t="s">
        <v>769</v>
      </c>
      <c r="J379" s="6" t="s">
        <v>51</v>
      </c>
      <c r="K379" s="6" t="s">
        <v>52</v>
      </c>
      <c r="L379" s="6" t="s">
        <v>53</v>
      </c>
      <c r="M379" s="6" t="s">
        <v>1028</v>
      </c>
      <c r="N379" s="6" t="s">
        <v>1270</v>
      </c>
      <c r="O379" s="6" t="s">
        <v>33</v>
      </c>
      <c r="P379" s="1" t="str">
        <f aca="false">IF(H379="Yes",IF(J379="MLS","Pro - MLS",IF(J379="MLS NEXT Pro","Pro - MLS NEXT Pro",IF(J379="USL Championship","Pro - USL Championship",IF(J379="USL League One","Pro - USL League One","Pro - Other")))),IF(H379="No",IF(K379="Amateur / Pre-Professional","Amateur / Pre-Professional","Returned to College"),"Unknown"))</f>
        <v>Returned to College</v>
      </c>
      <c r="Q379" s="1" t="str">
        <f aca="false">IF(E379="Yes","Yes","No")</f>
        <v>No</v>
      </c>
      <c r="R379" s="1" t="str">
        <f aca="false">IF(H379="Yes","Yes","No")</f>
        <v>No</v>
      </c>
      <c r="S379" s="2" t="s">
        <v>1271</v>
      </c>
      <c r="T379" s="2" t="s">
        <v>35</v>
      </c>
      <c r="U379" s="2" t="s">
        <v>36</v>
      </c>
    </row>
    <row r="380" customFormat="false" ht="15" hidden="false" customHeight="true" outlineLevel="0" collapsed="false">
      <c r="A380" s="6" t="s">
        <v>1272</v>
      </c>
      <c r="B380" s="6" t="s">
        <v>63</v>
      </c>
      <c r="C380" s="6" t="s">
        <v>111</v>
      </c>
      <c r="D380" s="6" t="s">
        <v>997</v>
      </c>
      <c r="E380" s="6" t="s">
        <v>25</v>
      </c>
      <c r="F380" s="6"/>
      <c r="G380" s="6"/>
      <c r="H380" s="6" t="s">
        <v>25</v>
      </c>
      <c r="I380" s="6" t="s">
        <v>111</v>
      </c>
      <c r="J380" s="6" t="s">
        <v>51</v>
      </c>
      <c r="K380" s="6" t="s">
        <v>52</v>
      </c>
      <c r="L380" s="6" t="s">
        <v>30</v>
      </c>
      <c r="M380" s="6" t="s">
        <v>1273</v>
      </c>
      <c r="N380" s="6" t="s">
        <v>1274</v>
      </c>
      <c r="O380" s="6" t="s">
        <v>33</v>
      </c>
      <c r="P380" s="1" t="str">
        <f aca="false">IF(H380="Yes",IF(J380="MLS","Pro - MLS",IF(J380="MLS NEXT Pro","Pro - MLS NEXT Pro",IF(J380="USL Championship","Pro - USL Championship",IF(J380="USL League One","Pro - USL League One","Pro - Other")))),IF(H380="No",IF(K380="Amateur / Pre-Professional","Amateur / Pre-Professional","Returned to College"),"Unknown"))</f>
        <v>Returned to College</v>
      </c>
      <c r="Q380" s="1" t="str">
        <f aca="false">IF(E380="Yes","Yes","No")</f>
        <v>No</v>
      </c>
      <c r="R380" s="1" t="str">
        <f aca="false">IF(H380="Yes","Yes","No")</f>
        <v>No</v>
      </c>
      <c r="S380" s="2" t="s">
        <v>113</v>
      </c>
      <c r="T380" s="2" t="s">
        <v>35</v>
      </c>
      <c r="U380" s="2" t="s">
        <v>36</v>
      </c>
    </row>
    <row r="381" customFormat="false" ht="15" hidden="false" customHeight="true" outlineLevel="0" collapsed="false">
      <c r="A381" s="6" t="s">
        <v>1275</v>
      </c>
      <c r="B381" s="6" t="s">
        <v>63</v>
      </c>
      <c r="C381" s="6" t="s">
        <v>155</v>
      </c>
      <c r="D381" s="6"/>
      <c r="E381" s="6" t="s">
        <v>25</v>
      </c>
      <c r="F381" s="6"/>
      <c r="G381" s="6"/>
      <c r="H381" s="6" t="s">
        <v>25</v>
      </c>
      <c r="I381" s="6" t="s">
        <v>155</v>
      </c>
      <c r="J381" s="6" t="s">
        <v>51</v>
      </c>
      <c r="K381" s="6" t="s">
        <v>52</v>
      </c>
      <c r="L381" s="6" t="s">
        <v>53</v>
      </c>
      <c r="M381" s="6" t="s">
        <v>297</v>
      </c>
      <c r="N381" s="6" t="s">
        <v>1276</v>
      </c>
      <c r="O381" s="6" t="s">
        <v>33</v>
      </c>
      <c r="P381" s="1" t="str">
        <f aca="false">IF(H381="Yes",IF(J381="MLS","Pro - MLS",IF(J381="MLS NEXT Pro","Pro - MLS NEXT Pro",IF(J381="USL Championship","Pro - USL Championship",IF(J381="USL League One","Pro - USL League One","Pro - Other")))),IF(H381="No",IF(K381="Amateur / Pre-Professional","Amateur / Pre-Professional","Returned to College"),"Unknown"))</f>
        <v>Returned to College</v>
      </c>
      <c r="Q381" s="1" t="str">
        <f aca="false">IF(E381="Yes","Yes","No")</f>
        <v>No</v>
      </c>
      <c r="R381" s="1" t="str">
        <f aca="false">IF(H381="Yes","Yes","No")</f>
        <v>No</v>
      </c>
      <c r="S381" s="2" t="s">
        <v>157</v>
      </c>
      <c r="T381" s="2" t="s">
        <v>35</v>
      </c>
      <c r="U381" s="2" t="s">
        <v>36</v>
      </c>
    </row>
    <row r="382" customFormat="false" ht="15" hidden="false" customHeight="true" outlineLevel="0" collapsed="false">
      <c r="A382" s="6" t="s">
        <v>1277</v>
      </c>
      <c r="B382" s="6" t="s">
        <v>22</v>
      </c>
      <c r="C382" s="6" t="s">
        <v>115</v>
      </c>
      <c r="D382" s="6" t="s">
        <v>301</v>
      </c>
      <c r="E382" s="6" t="s">
        <v>25</v>
      </c>
      <c r="F382" s="6"/>
      <c r="G382" s="6"/>
      <c r="H382" s="6"/>
      <c r="I382" s="6"/>
      <c r="J382" s="6"/>
      <c r="K382" s="6" t="s">
        <v>88</v>
      </c>
      <c r="L382" s="6" t="s">
        <v>436</v>
      </c>
      <c r="M382" s="6"/>
      <c r="N382" s="6"/>
      <c r="O382" s="6" t="s">
        <v>71</v>
      </c>
      <c r="P382" s="1" t="str">
        <f aca="false">IF(H382="Yes",IF(J382="MLS","Pro - MLS",IF(J382="MLS NEXT Pro","Pro - MLS NEXT Pro",IF(J382="USL Championship","Pro - USL Championship",IF(J382="USL League One","Pro - USL League One","Pro - Other")))),IF(H382="No",IF(K382="Amateur / Pre-Professional","Amateur / Pre-Professional","Returned to College"),"Unknown"))</f>
        <v>Unknown</v>
      </c>
      <c r="Q382" s="1" t="str">
        <f aca="false">IF(E382="Yes","Yes","No")</f>
        <v>No</v>
      </c>
      <c r="R382" s="1" t="str">
        <f aca="false">IF(H382="Yes","Yes","No")</f>
        <v>No</v>
      </c>
      <c r="T382" s="2" t="s">
        <v>437</v>
      </c>
      <c r="U382" s="2" t="s">
        <v>438</v>
      </c>
    </row>
    <row r="383" customFormat="false" ht="27.75" hidden="false" customHeight="true" outlineLevel="0" collapsed="false">
      <c r="A383" s="6" t="s">
        <v>1278</v>
      </c>
      <c r="B383" s="6" t="s">
        <v>48</v>
      </c>
      <c r="C383" s="6" t="s">
        <v>535</v>
      </c>
      <c r="D383" s="6"/>
      <c r="E383" s="6" t="s">
        <v>25</v>
      </c>
      <c r="F383" s="6"/>
      <c r="G383" s="6"/>
      <c r="H383" s="6" t="s">
        <v>25</v>
      </c>
      <c r="I383" s="6" t="s">
        <v>535</v>
      </c>
      <c r="J383" s="6" t="s">
        <v>51</v>
      </c>
      <c r="K383" s="6" t="s">
        <v>52</v>
      </c>
      <c r="L383" s="6" t="s">
        <v>53</v>
      </c>
      <c r="M383" s="6" t="s">
        <v>909</v>
      </c>
      <c r="N383" s="6" t="s">
        <v>1279</v>
      </c>
      <c r="O383" s="6" t="s">
        <v>33</v>
      </c>
      <c r="P383" s="1" t="str">
        <f aca="false">IF(H383="Yes",IF(J383="MLS","Pro - MLS",IF(J383="MLS NEXT Pro","Pro - MLS NEXT Pro",IF(J383="USL Championship","Pro - USL Championship",IF(J383="USL League One","Pro - USL League One","Pro - Other")))),IF(H383="No",IF(K383="Amateur / Pre-Professional","Amateur / Pre-Professional","Returned to College"),"Unknown"))</f>
        <v>Returned to College</v>
      </c>
      <c r="Q383" s="1" t="str">
        <f aca="false">IF(E383="Yes","Yes","No")</f>
        <v>No</v>
      </c>
      <c r="R383" s="1" t="str">
        <f aca="false">IF(H383="Yes","Yes","No")</f>
        <v>No</v>
      </c>
      <c r="S383" s="2" t="s">
        <v>1280</v>
      </c>
      <c r="T383" s="2" t="s">
        <v>35</v>
      </c>
      <c r="U383" s="2" t="s">
        <v>36</v>
      </c>
    </row>
    <row r="384" customFormat="false" ht="15" hidden="false" customHeight="true" outlineLevel="0" collapsed="false">
      <c r="A384" s="6" t="s">
        <v>1281</v>
      </c>
      <c r="B384" s="6" t="s">
        <v>48</v>
      </c>
      <c r="C384" s="6" t="s">
        <v>266</v>
      </c>
      <c r="D384" s="6"/>
      <c r="E384" s="6" t="s">
        <v>25</v>
      </c>
      <c r="F384" s="6"/>
      <c r="G384" s="6"/>
      <c r="H384" s="6"/>
      <c r="I384" s="6"/>
      <c r="J384" s="6"/>
      <c r="K384" s="6" t="s">
        <v>88</v>
      </c>
      <c r="L384" s="6" t="s">
        <v>30</v>
      </c>
      <c r="M384" s="6"/>
      <c r="N384" s="6"/>
      <c r="O384" s="6" t="s">
        <v>71</v>
      </c>
      <c r="P384" s="1" t="str">
        <f aca="false">IF(H384="Yes",IF(J384="MLS","Pro - MLS",IF(J384="MLS NEXT Pro","Pro - MLS NEXT Pro",IF(J384="USL Championship","Pro - USL Championship",IF(J384="USL League One","Pro - USL League One","Pro - Other")))),IF(H384="No",IF(K384="Amateur / Pre-Professional","Amateur / Pre-Professional","Returned to College"),"Unknown"))</f>
        <v>Unknown</v>
      </c>
      <c r="Q384" s="1" t="str">
        <f aca="false">IF(E384="Yes","Yes","No")</f>
        <v>No</v>
      </c>
      <c r="R384" s="1" t="str">
        <f aca="false">IF(H384="Yes","Yes","No")</f>
        <v>No</v>
      </c>
      <c r="S384" s="2" t="s">
        <v>1282</v>
      </c>
      <c r="T384" s="2" t="s">
        <v>35</v>
      </c>
      <c r="U384" s="2" t="s">
        <v>36</v>
      </c>
    </row>
    <row r="385" customFormat="false" ht="15" hidden="false" customHeight="true" outlineLevel="0" collapsed="false">
      <c r="A385" s="6" t="s">
        <v>1283</v>
      </c>
      <c r="B385" s="6" t="s">
        <v>48</v>
      </c>
      <c r="C385" s="6" t="s">
        <v>420</v>
      </c>
      <c r="D385" s="6" t="s">
        <v>50</v>
      </c>
      <c r="E385" s="6" t="s">
        <v>25</v>
      </c>
      <c r="F385" s="6"/>
      <c r="G385" s="6"/>
      <c r="H385" s="6"/>
      <c r="I385" s="6"/>
      <c r="J385" s="6"/>
      <c r="K385" s="6" t="s">
        <v>88</v>
      </c>
      <c r="L385" s="6" t="s">
        <v>43</v>
      </c>
      <c r="M385" s="6"/>
      <c r="N385" s="6"/>
      <c r="O385" s="6" t="s">
        <v>71</v>
      </c>
      <c r="P385" s="1" t="str">
        <f aca="false">IF(H385="Yes",IF(J385="MLS","Pro - MLS",IF(J385="MLS NEXT Pro","Pro - MLS NEXT Pro",IF(J385="USL Championship","Pro - USL Championship",IF(J385="USL League One","Pro - USL League One","Pro - Other")))),IF(H385="No",IF(K385="Amateur / Pre-Professional","Amateur / Pre-Professional","Returned to College"),"Unknown"))</f>
        <v>Unknown</v>
      </c>
      <c r="Q385" s="1" t="str">
        <f aca="false">IF(E385="Yes","Yes","No")</f>
        <v>No</v>
      </c>
      <c r="R385" s="1" t="str">
        <f aca="false">IF(H385="Yes","Yes","No")</f>
        <v>No</v>
      </c>
      <c r="S385" s="2" t="s">
        <v>423</v>
      </c>
      <c r="T385" s="2" t="s">
        <v>35</v>
      </c>
      <c r="U385" s="2" t="s">
        <v>36</v>
      </c>
    </row>
    <row r="386" customFormat="false" ht="27.75" hidden="false" customHeight="true" outlineLevel="0" collapsed="false">
      <c r="A386" s="6" t="s">
        <v>1284</v>
      </c>
      <c r="B386" s="6" t="s">
        <v>48</v>
      </c>
      <c r="C386" s="6" t="s">
        <v>129</v>
      </c>
      <c r="D386" s="6"/>
      <c r="E386" s="6" t="s">
        <v>26</v>
      </c>
      <c r="F386" s="6" t="n">
        <v>30</v>
      </c>
      <c r="G386" s="6" t="s">
        <v>224</v>
      </c>
      <c r="H386" s="6" t="s">
        <v>26</v>
      </c>
      <c r="I386" s="6" t="s">
        <v>468</v>
      </c>
      <c r="J386" s="6" t="s">
        <v>361</v>
      </c>
      <c r="K386" s="6" t="s">
        <v>29</v>
      </c>
      <c r="L386" s="6" t="s">
        <v>584</v>
      </c>
      <c r="M386" s="6" t="s">
        <v>133</v>
      </c>
      <c r="N386" s="6" t="s">
        <v>70</v>
      </c>
      <c r="O386" s="6" t="s">
        <v>71</v>
      </c>
      <c r="P386" s="1" t="str">
        <f aca="false">IF(H386="Yes",IF(J386="MLS","Pro - MLS",IF(J386="MLS NEXT Pro","Pro - MLS NEXT Pro",IF(J386="USL Championship","Pro - USL Championship",IF(J386="USL League One","Pro - USL League One","Pro - Other")))),IF(H386="No",IF(K386="Amateur / Pre-Professional","Amateur / Pre-Professional","Returned to College"),"Unknown"))</f>
        <v>Pro - USL Championship</v>
      </c>
      <c r="Q386" s="1" t="str">
        <f aca="false">IF(E386="Yes","Yes","No")</f>
        <v>Yes</v>
      </c>
      <c r="R386" s="1" t="str">
        <f aca="false">IF(H386="Yes","Yes","No")</f>
        <v>Yes</v>
      </c>
      <c r="U386" s="2" t="s">
        <v>56</v>
      </c>
    </row>
    <row r="387" customFormat="false" ht="15" hidden="false" customHeight="true" outlineLevel="0" collapsed="false">
      <c r="A387" s="6" t="s">
        <v>1285</v>
      </c>
      <c r="B387" s="6" t="s">
        <v>63</v>
      </c>
      <c r="C387" s="6" t="s">
        <v>820</v>
      </c>
      <c r="D387" s="6" t="s">
        <v>548</v>
      </c>
      <c r="E387" s="6" t="s">
        <v>25</v>
      </c>
      <c r="F387" s="6"/>
      <c r="G387" s="6"/>
      <c r="H387" s="6"/>
      <c r="I387" s="6"/>
      <c r="J387" s="6"/>
      <c r="K387" s="6" t="s">
        <v>88</v>
      </c>
      <c r="L387" s="6" t="s">
        <v>30</v>
      </c>
      <c r="M387" s="6"/>
      <c r="N387" s="6"/>
      <c r="O387" s="6" t="s">
        <v>71</v>
      </c>
      <c r="P387" s="1" t="str">
        <f aca="false">IF(H387="Yes",IF(J387="MLS","Pro - MLS",IF(J387="MLS NEXT Pro","Pro - MLS NEXT Pro",IF(J387="USL Championship","Pro - USL Championship",IF(J387="USL League One","Pro - USL League One","Pro - Other")))),IF(H387="No",IF(K387="Amateur / Pre-Professional","Amateur / Pre-Professional","Returned to College"),"Unknown"))</f>
        <v>Unknown</v>
      </c>
      <c r="Q387" s="1" t="str">
        <f aca="false">IF(E387="Yes","Yes","No")</f>
        <v>No</v>
      </c>
      <c r="R387" s="1" t="str">
        <f aca="false">IF(H387="Yes","Yes","No")</f>
        <v>No</v>
      </c>
      <c r="S387" s="2" t="s">
        <v>1286</v>
      </c>
      <c r="T387" s="2" t="s">
        <v>35</v>
      </c>
      <c r="U387" s="2" t="s">
        <v>1287</v>
      </c>
    </row>
    <row r="388" customFormat="false" ht="15" hidden="false" customHeight="true" outlineLevel="0" collapsed="false">
      <c r="A388" s="6" t="s">
        <v>1288</v>
      </c>
      <c r="B388" s="6" t="s">
        <v>38</v>
      </c>
      <c r="C388" s="6" t="s">
        <v>552</v>
      </c>
      <c r="D388" s="6" t="s">
        <v>251</v>
      </c>
      <c r="E388" s="6" t="s">
        <v>25</v>
      </c>
      <c r="F388" s="6"/>
      <c r="G388" s="6"/>
      <c r="H388" s="6" t="s">
        <v>26</v>
      </c>
      <c r="I388" s="6" t="s">
        <v>252</v>
      </c>
      <c r="J388" s="6" t="s">
        <v>76</v>
      </c>
      <c r="K388" s="6" t="s">
        <v>29</v>
      </c>
      <c r="L388" s="6" t="s">
        <v>83</v>
      </c>
      <c r="M388" s="6" t="s">
        <v>1289</v>
      </c>
      <c r="N388" s="6" t="s">
        <v>1290</v>
      </c>
      <c r="O388" s="6" t="s">
        <v>33</v>
      </c>
      <c r="P388" s="1" t="str">
        <f aca="false">IF(H388="Yes",IF(J388="MLS","Pro - MLS",IF(J388="MLS NEXT Pro","Pro - MLS NEXT Pro",IF(J388="USL Championship","Pro - USL Championship",IF(J388="USL League One","Pro - USL League One","Pro - Other")))),IF(H388="No",IF(K388="Amateur / Pre-Professional","Amateur / Pre-Professional","Returned to College"),"Unknown"))</f>
        <v>Pro - MLS NEXT Pro</v>
      </c>
      <c r="Q388" s="1" t="str">
        <f aca="false">IF(E388="Yes","Yes","No")</f>
        <v>No</v>
      </c>
      <c r="R388" s="1" t="str">
        <f aca="false">IF(H388="Yes","Yes","No")</f>
        <v>Yes</v>
      </c>
      <c r="S388" s="2" t="s">
        <v>1291</v>
      </c>
      <c r="T388" s="2" t="s">
        <v>35</v>
      </c>
      <c r="U388" s="2" t="s">
        <v>36</v>
      </c>
    </row>
    <row r="389" customFormat="false" ht="27.75" hidden="false" customHeight="true" outlineLevel="0" collapsed="false">
      <c r="A389" s="6" t="s">
        <v>1292</v>
      </c>
      <c r="B389" s="6" t="s">
        <v>48</v>
      </c>
      <c r="C389" s="6" t="s">
        <v>405</v>
      </c>
      <c r="D389" s="6"/>
      <c r="E389" s="6" t="s">
        <v>26</v>
      </c>
      <c r="F389" s="6" t="n">
        <v>39</v>
      </c>
      <c r="G389" s="6" t="s">
        <v>230</v>
      </c>
      <c r="H389" s="6" t="s">
        <v>26</v>
      </c>
      <c r="I389" s="6" t="s">
        <v>583</v>
      </c>
      <c r="J389" s="6" t="s">
        <v>76</v>
      </c>
      <c r="K389" s="6" t="s">
        <v>29</v>
      </c>
      <c r="L389" s="6" t="s">
        <v>30</v>
      </c>
      <c r="M389" s="6" t="s">
        <v>133</v>
      </c>
      <c r="N389" s="6" t="s">
        <v>70</v>
      </c>
      <c r="O389" s="6" t="s">
        <v>71</v>
      </c>
      <c r="P389" s="1" t="str">
        <f aca="false">IF(H389="Yes",IF(J389="MLS","Pro - MLS",IF(J389="MLS NEXT Pro","Pro - MLS NEXT Pro",IF(J389="USL Championship","Pro - USL Championship",IF(J389="USL League One","Pro - USL League One","Pro - Other")))),IF(H389="No",IF(K389="Amateur / Pre-Professional","Amateur / Pre-Professional","Returned to College"),"Unknown"))</f>
        <v>Pro - MLS NEXT Pro</v>
      </c>
      <c r="Q389" s="1" t="str">
        <f aca="false">IF(E389="Yes","Yes","No")</f>
        <v>Yes</v>
      </c>
      <c r="R389" s="1" t="str">
        <f aca="false">IF(H389="Yes","Yes","No")</f>
        <v>Yes</v>
      </c>
      <c r="U389" s="2" t="s">
        <v>56</v>
      </c>
    </row>
    <row r="390" customFormat="false" ht="27.75" hidden="false" customHeight="true" outlineLevel="0" collapsed="false">
      <c r="A390" s="6" t="s">
        <v>1293</v>
      </c>
      <c r="B390" s="6" t="s">
        <v>63</v>
      </c>
      <c r="C390" s="6" t="s">
        <v>920</v>
      </c>
      <c r="D390" s="6" t="s">
        <v>1294</v>
      </c>
      <c r="E390" s="6" t="s">
        <v>25</v>
      </c>
      <c r="F390" s="6"/>
      <c r="G390" s="6"/>
      <c r="H390" s="6" t="s">
        <v>25</v>
      </c>
      <c r="I390" s="6" t="s">
        <v>920</v>
      </c>
      <c r="J390" s="6" t="s">
        <v>51</v>
      </c>
      <c r="K390" s="6" t="s">
        <v>52</v>
      </c>
      <c r="L390" s="6" t="s">
        <v>53</v>
      </c>
      <c r="M390" s="6" t="s">
        <v>921</v>
      </c>
      <c r="N390" s="6" t="s">
        <v>922</v>
      </c>
      <c r="O390" s="6" t="s">
        <v>33</v>
      </c>
      <c r="P390" s="1" t="str">
        <f aca="false">IF(H390="Yes",IF(J390="MLS","Pro - MLS",IF(J390="MLS NEXT Pro","Pro - MLS NEXT Pro",IF(J390="USL Championship","Pro - USL Championship",IF(J390="USL League One","Pro - USL League One","Pro - Other")))),IF(H390="No",IF(K390="Amateur / Pre-Professional","Amateur / Pre-Professional","Returned to College"),"Unknown"))</f>
        <v>Returned to College</v>
      </c>
      <c r="Q390" s="1" t="str">
        <f aca="false">IF(E390="Yes","Yes","No")</f>
        <v>No</v>
      </c>
      <c r="R390" s="1" t="str">
        <f aca="false">IF(H390="Yes","Yes","No")</f>
        <v>No</v>
      </c>
      <c r="S390" s="2" t="s">
        <v>1157</v>
      </c>
      <c r="T390" s="2" t="s">
        <v>35</v>
      </c>
      <c r="U390" s="2" t="s">
        <v>36</v>
      </c>
    </row>
    <row r="391" customFormat="false" ht="27.75" hidden="false" customHeight="true" outlineLevel="0" collapsed="false">
      <c r="A391" s="6" t="s">
        <v>1295</v>
      </c>
      <c r="B391" s="6" t="s">
        <v>38</v>
      </c>
      <c r="C391" s="6" t="s">
        <v>637</v>
      </c>
      <c r="D391" s="6" t="s">
        <v>1296</v>
      </c>
      <c r="E391" s="6" t="s">
        <v>25</v>
      </c>
      <c r="F391" s="6"/>
      <c r="G391" s="6"/>
      <c r="H391" s="6"/>
      <c r="I391" s="6"/>
      <c r="J391" s="6"/>
      <c r="K391" s="6" t="s">
        <v>88</v>
      </c>
      <c r="L391" s="6" t="s">
        <v>30</v>
      </c>
      <c r="M391" s="6"/>
      <c r="N391" s="6"/>
      <c r="O391" s="6" t="s">
        <v>71</v>
      </c>
      <c r="P391" s="1" t="str">
        <f aca="false">IF(H391="Yes",IF(J391="MLS","Pro - MLS",IF(J391="MLS NEXT Pro","Pro - MLS NEXT Pro",IF(J391="USL Championship","Pro - USL Championship",IF(J391="USL League One","Pro - USL League One","Pro - Other")))),IF(H391="No",IF(K391="Amateur / Pre-Professional","Amateur / Pre-Professional","Returned to College"),"Unknown"))</f>
        <v>Unknown</v>
      </c>
      <c r="Q391" s="1" t="str">
        <f aca="false">IF(E391="Yes","Yes","No")</f>
        <v>No</v>
      </c>
      <c r="R391" s="1" t="str">
        <f aca="false">IF(H391="Yes","Yes","No")</f>
        <v>No</v>
      </c>
      <c r="S391" s="2" t="s">
        <v>638</v>
      </c>
      <c r="T391" s="2" t="s">
        <v>35</v>
      </c>
      <c r="U391" s="2" t="s">
        <v>36</v>
      </c>
    </row>
    <row r="392" customFormat="false" ht="27.75" hidden="false" customHeight="true" outlineLevel="0" collapsed="false">
      <c r="A392" s="6" t="s">
        <v>1297</v>
      </c>
      <c r="B392" s="6" t="s">
        <v>48</v>
      </c>
      <c r="C392" s="6" t="s">
        <v>1105</v>
      </c>
      <c r="D392" s="6" t="s">
        <v>210</v>
      </c>
      <c r="E392" s="6" t="s">
        <v>25</v>
      </c>
      <c r="F392" s="6"/>
      <c r="G392" s="6"/>
      <c r="H392" s="6"/>
      <c r="I392" s="6"/>
      <c r="J392" s="6"/>
      <c r="K392" s="6" t="s">
        <v>88</v>
      </c>
      <c r="L392" s="6" t="s">
        <v>83</v>
      </c>
      <c r="M392" s="6"/>
      <c r="N392" s="6"/>
      <c r="O392" s="6" t="s">
        <v>71</v>
      </c>
      <c r="P392" s="1" t="str">
        <f aca="false">IF(H392="Yes",IF(J392="MLS","Pro - MLS",IF(J392="MLS NEXT Pro","Pro - MLS NEXT Pro",IF(J392="USL Championship","Pro - USL Championship",IF(J392="USL League One","Pro - USL League One","Pro - Other")))),IF(H392="No",IF(K392="Amateur / Pre-Professional","Amateur / Pre-Professional","Returned to College"),"Unknown"))</f>
        <v>Unknown</v>
      </c>
      <c r="Q392" s="1" t="str">
        <f aca="false">IF(E392="Yes","Yes","No")</f>
        <v>No</v>
      </c>
      <c r="R392" s="1" t="str">
        <f aca="false">IF(H392="Yes","Yes","No")</f>
        <v>No</v>
      </c>
      <c r="S392" s="2" t="s">
        <v>1108</v>
      </c>
      <c r="T392" s="2" t="s">
        <v>35</v>
      </c>
      <c r="U392" s="2" t="s">
        <v>36</v>
      </c>
    </row>
    <row r="393" customFormat="false" ht="15" hidden="false" customHeight="true" outlineLevel="0" collapsed="false">
      <c r="A393" s="6" t="s">
        <v>1298</v>
      </c>
      <c r="B393" s="6" t="s">
        <v>22</v>
      </c>
      <c r="C393" s="6" t="s">
        <v>494</v>
      </c>
      <c r="D393" s="6"/>
      <c r="E393" s="6" t="s">
        <v>25</v>
      </c>
      <c r="F393" s="6"/>
      <c r="G393" s="6"/>
      <c r="H393" s="6" t="s">
        <v>26</v>
      </c>
      <c r="I393" s="6" t="s">
        <v>1299</v>
      </c>
      <c r="J393" s="6" t="s">
        <v>1300</v>
      </c>
      <c r="K393" s="6" t="s">
        <v>29</v>
      </c>
      <c r="L393" s="6" t="s">
        <v>30</v>
      </c>
      <c r="M393" s="6" t="s">
        <v>1301</v>
      </c>
      <c r="N393" s="6" t="s">
        <v>1302</v>
      </c>
      <c r="O393" s="6" t="s">
        <v>33</v>
      </c>
      <c r="P393" s="1" t="str">
        <f aca="false">IF(H393="Yes",IF(J393="MLS","Pro - MLS",IF(J393="MLS NEXT Pro","Pro - MLS NEXT Pro",IF(J393="USL Championship","Pro - USL Championship",IF(J393="USL League One","Pro - USL League One","Pro - Other")))),IF(H393="No",IF(K393="Amateur / Pre-Professional","Amateur / Pre-Professional","Returned to College"),"Unknown"))</f>
        <v>Pro - Other</v>
      </c>
      <c r="Q393" s="1" t="str">
        <f aca="false">IF(E393="Yes","Yes","No")</f>
        <v>No</v>
      </c>
      <c r="R393" s="1" t="str">
        <f aca="false">IF(H393="Yes","Yes","No")</f>
        <v>Yes</v>
      </c>
      <c r="S393" s="2" t="s">
        <v>1303</v>
      </c>
      <c r="T393" s="2" t="s">
        <v>35</v>
      </c>
      <c r="U393" s="2" t="s">
        <v>36</v>
      </c>
    </row>
    <row r="394" customFormat="false" ht="15" hidden="false" customHeight="true" outlineLevel="0" collapsed="false">
      <c r="A394" s="6" t="s">
        <v>1304</v>
      </c>
      <c r="B394" s="6" t="s">
        <v>48</v>
      </c>
      <c r="C394" s="6" t="s">
        <v>199</v>
      </c>
      <c r="D394" s="6" t="s">
        <v>1305</v>
      </c>
      <c r="E394" s="6" t="s">
        <v>25</v>
      </c>
      <c r="F394" s="6"/>
      <c r="G394" s="6"/>
      <c r="H394" s="6" t="s">
        <v>25</v>
      </c>
      <c r="I394" s="6" t="s">
        <v>199</v>
      </c>
      <c r="J394" s="6" t="s">
        <v>51</v>
      </c>
      <c r="K394" s="6" t="s">
        <v>52</v>
      </c>
      <c r="L394" s="6" t="s">
        <v>83</v>
      </c>
      <c r="M394" s="6" t="s">
        <v>1306</v>
      </c>
      <c r="N394" s="6" t="s">
        <v>1307</v>
      </c>
      <c r="O394" s="6" t="s">
        <v>33</v>
      </c>
      <c r="P394" s="1" t="str">
        <f aca="false">IF(H394="Yes",IF(J394="MLS","Pro - MLS",IF(J394="MLS NEXT Pro","Pro - MLS NEXT Pro",IF(J394="USL Championship","Pro - USL Championship",IF(J394="USL League One","Pro - USL League One","Pro - Other")))),IF(H394="No",IF(K394="Amateur / Pre-Professional","Amateur / Pre-Professional","Returned to College"),"Unknown"))</f>
        <v>Returned to College</v>
      </c>
      <c r="Q394" s="1" t="str">
        <f aca="false">IF(E394="Yes","Yes","No")</f>
        <v>No</v>
      </c>
      <c r="R394" s="1" t="str">
        <f aca="false">IF(H394="Yes","Yes","No")</f>
        <v>No</v>
      </c>
      <c r="S394" s="2" t="s">
        <v>203</v>
      </c>
      <c r="T394" s="2" t="s">
        <v>35</v>
      </c>
      <c r="U394" s="2" t="s">
        <v>36</v>
      </c>
    </row>
    <row r="395" customFormat="false" ht="15" hidden="false" customHeight="true" outlineLevel="0" collapsed="false">
      <c r="A395" s="6" t="s">
        <v>1308</v>
      </c>
      <c r="B395" s="6" t="s">
        <v>22</v>
      </c>
      <c r="C395" s="6" t="s">
        <v>179</v>
      </c>
      <c r="D395" s="6"/>
      <c r="E395" s="6" t="s">
        <v>25</v>
      </c>
      <c r="F395" s="6"/>
      <c r="G395" s="6"/>
      <c r="H395" s="6"/>
      <c r="I395" s="6"/>
      <c r="J395" s="6"/>
      <c r="K395" s="6" t="s">
        <v>88</v>
      </c>
      <c r="L395" s="6" t="s">
        <v>43</v>
      </c>
      <c r="M395" s="6"/>
      <c r="N395" s="6"/>
      <c r="O395" s="6" t="s">
        <v>71</v>
      </c>
      <c r="P395" s="1" t="str">
        <f aca="false">IF(H395="Yes",IF(J395="MLS","Pro - MLS",IF(J395="MLS NEXT Pro","Pro - MLS NEXT Pro",IF(J395="USL Championship","Pro - USL Championship",IF(J395="USL League One","Pro - USL League One","Pro - Other")))),IF(H395="No",IF(K395="Amateur / Pre-Professional","Amateur / Pre-Professional","Returned to College"),"Unknown"))</f>
        <v>Unknown</v>
      </c>
      <c r="Q395" s="1" t="str">
        <f aca="false">IF(E395="Yes","Yes","No")</f>
        <v>No</v>
      </c>
      <c r="R395" s="1" t="str">
        <f aca="false">IF(H395="Yes","Yes","No")</f>
        <v>No</v>
      </c>
      <c r="S395" s="2" t="s">
        <v>1309</v>
      </c>
      <c r="T395" s="2" t="s">
        <v>35</v>
      </c>
      <c r="U395" s="2" t="s">
        <v>36</v>
      </c>
    </row>
    <row r="396" customFormat="false" ht="15" hidden="false" customHeight="true" outlineLevel="0" collapsed="false">
      <c r="A396" s="6" t="s">
        <v>1310</v>
      </c>
      <c r="B396" s="6" t="s">
        <v>48</v>
      </c>
      <c r="C396" s="6" t="s">
        <v>557</v>
      </c>
      <c r="D396" s="6" t="s">
        <v>230</v>
      </c>
      <c r="E396" s="6" t="s">
        <v>25</v>
      </c>
      <c r="F396" s="6"/>
      <c r="G396" s="6"/>
      <c r="H396" s="6"/>
      <c r="I396" s="6"/>
      <c r="J396" s="6"/>
      <c r="K396" s="6" t="s">
        <v>88</v>
      </c>
      <c r="L396" s="6" t="s">
        <v>30</v>
      </c>
      <c r="M396" s="6"/>
      <c r="N396" s="6"/>
      <c r="O396" s="6" t="s">
        <v>71</v>
      </c>
      <c r="P396" s="1" t="str">
        <f aca="false">IF(H396="Yes",IF(J396="MLS","Pro - MLS",IF(J396="MLS NEXT Pro","Pro - MLS NEXT Pro",IF(J396="USL Championship","Pro - USL Championship",IF(J396="USL League One","Pro - USL League One","Pro - Other")))),IF(H396="No",IF(K396="Amateur / Pre-Professional","Amateur / Pre-Professional","Returned to College"),"Unknown"))</f>
        <v>Unknown</v>
      </c>
      <c r="Q396" s="1" t="str">
        <f aca="false">IF(E396="Yes","Yes","No")</f>
        <v>No</v>
      </c>
      <c r="R396" s="1" t="str">
        <f aca="false">IF(H396="Yes","Yes","No")</f>
        <v>No</v>
      </c>
      <c r="S396" s="2" t="s">
        <v>1311</v>
      </c>
      <c r="T396" s="2" t="s">
        <v>35</v>
      </c>
      <c r="U396" s="2" t="s">
        <v>1312</v>
      </c>
    </row>
    <row r="397" customFormat="false" ht="15" hidden="false" customHeight="true" outlineLevel="0" collapsed="false">
      <c r="A397" s="6" t="s">
        <v>1313</v>
      </c>
      <c r="B397" s="6" t="s">
        <v>48</v>
      </c>
      <c r="C397" s="6" t="s">
        <v>353</v>
      </c>
      <c r="D397" s="6" t="s">
        <v>1314</v>
      </c>
      <c r="E397" s="6" t="s">
        <v>25</v>
      </c>
      <c r="F397" s="6"/>
      <c r="G397" s="6"/>
      <c r="H397" s="6" t="s">
        <v>25</v>
      </c>
      <c r="I397" s="6" t="s">
        <v>353</v>
      </c>
      <c r="J397" s="6" t="s">
        <v>51</v>
      </c>
      <c r="K397" s="6" t="s">
        <v>52</v>
      </c>
      <c r="L397" s="6" t="s">
        <v>53</v>
      </c>
      <c r="M397" s="6" t="s">
        <v>539</v>
      </c>
      <c r="N397" s="6" t="s">
        <v>1315</v>
      </c>
      <c r="O397" s="6" t="s">
        <v>33</v>
      </c>
      <c r="P397" s="1" t="str">
        <f aca="false">IF(H397="Yes",IF(J397="MLS","Pro - MLS",IF(J397="MLS NEXT Pro","Pro - MLS NEXT Pro",IF(J397="USL Championship","Pro - USL Championship",IF(J397="USL League One","Pro - USL League One","Pro - Other")))),IF(H397="No",IF(K397="Amateur / Pre-Professional","Amateur / Pre-Professional","Returned to College"),"Unknown"))</f>
        <v>Returned to College</v>
      </c>
      <c r="Q397" s="1" t="str">
        <f aca="false">IF(E397="Yes","Yes","No")</f>
        <v>No</v>
      </c>
      <c r="R397" s="1" t="str">
        <f aca="false">IF(H397="Yes","Yes","No")</f>
        <v>No</v>
      </c>
      <c r="S397" s="2" t="s">
        <v>1316</v>
      </c>
      <c r="T397" s="2" t="s">
        <v>35</v>
      </c>
      <c r="U397" s="2" t="s">
        <v>36</v>
      </c>
    </row>
    <row r="398" customFormat="false" ht="15" hidden="false" customHeight="true" outlineLevel="0" collapsed="false">
      <c r="A398" s="6" t="s">
        <v>1317</v>
      </c>
      <c r="B398" s="6" t="s">
        <v>63</v>
      </c>
      <c r="C398" s="6" t="s">
        <v>366</v>
      </c>
      <c r="D398" s="6" t="s">
        <v>66</v>
      </c>
      <c r="E398" s="6" t="s">
        <v>25</v>
      </c>
      <c r="F398" s="6"/>
      <c r="G398" s="6"/>
      <c r="H398" s="6"/>
      <c r="I398" s="6"/>
      <c r="J398" s="6"/>
      <c r="K398" s="6" t="s">
        <v>88</v>
      </c>
      <c r="L398" s="6" t="s">
        <v>30</v>
      </c>
      <c r="M398" s="6"/>
      <c r="N398" s="6"/>
      <c r="O398" s="6" t="s">
        <v>71</v>
      </c>
      <c r="P398" s="1" t="str">
        <f aca="false">IF(H398="Yes",IF(J398="MLS","Pro - MLS",IF(J398="MLS NEXT Pro","Pro - MLS NEXT Pro",IF(J398="USL Championship","Pro - USL Championship",IF(J398="USL League One","Pro - USL League One","Pro - Other")))),IF(H398="No",IF(K398="Amateur / Pre-Professional","Amateur / Pre-Professional","Returned to College"),"Unknown"))</f>
        <v>Unknown</v>
      </c>
      <c r="Q398" s="1" t="str">
        <f aca="false">IF(E398="Yes","Yes","No")</f>
        <v>No</v>
      </c>
      <c r="R398" s="1" t="str">
        <f aca="false">IF(H398="Yes","Yes","No")</f>
        <v>No</v>
      </c>
      <c r="S398" s="2" t="s">
        <v>1318</v>
      </c>
      <c r="T398" s="2" t="s">
        <v>35</v>
      </c>
      <c r="U398" s="2" t="s">
        <v>36</v>
      </c>
    </row>
    <row r="399" customFormat="false" ht="15" hidden="false" customHeight="true" outlineLevel="0" collapsed="false">
      <c r="A399" s="6" t="s">
        <v>1319</v>
      </c>
      <c r="B399" s="6" t="s">
        <v>63</v>
      </c>
      <c r="C399" s="6" t="s">
        <v>447</v>
      </c>
      <c r="D399" s="6"/>
      <c r="E399" s="6" t="s">
        <v>25</v>
      </c>
      <c r="F399" s="6"/>
      <c r="G399" s="6"/>
      <c r="H399" s="6" t="s">
        <v>25</v>
      </c>
      <c r="I399" s="6" t="s">
        <v>447</v>
      </c>
      <c r="J399" s="6" t="s">
        <v>51</v>
      </c>
      <c r="K399" s="6" t="s">
        <v>52</v>
      </c>
      <c r="L399" s="6" t="s">
        <v>30</v>
      </c>
      <c r="M399" s="6" t="s">
        <v>1320</v>
      </c>
      <c r="N399" s="6" t="s">
        <v>1321</v>
      </c>
      <c r="O399" s="6" t="s">
        <v>33</v>
      </c>
      <c r="P399" s="1" t="str">
        <f aca="false">IF(H399="Yes",IF(J399="MLS","Pro - MLS",IF(J399="MLS NEXT Pro","Pro - MLS NEXT Pro",IF(J399="USL Championship","Pro - USL Championship",IF(J399="USL League One","Pro - USL League One","Pro - Other")))),IF(H399="No",IF(K399="Amateur / Pre-Professional","Amateur / Pre-Professional","Returned to College"),"Unknown"))</f>
        <v>Returned to College</v>
      </c>
      <c r="Q399" s="1" t="str">
        <f aca="false">IF(E399="Yes","Yes","No")</f>
        <v>No</v>
      </c>
      <c r="R399" s="1" t="str">
        <f aca="false">IF(H399="Yes","Yes","No")</f>
        <v>No</v>
      </c>
      <c r="S399" s="2" t="s">
        <v>451</v>
      </c>
      <c r="T399" s="2" t="s">
        <v>35</v>
      </c>
      <c r="U399" s="2" t="s">
        <v>36</v>
      </c>
    </row>
    <row r="400" customFormat="false" ht="15" hidden="false" customHeight="true" outlineLevel="0" collapsed="false">
      <c r="A400" s="6" t="s">
        <v>1322</v>
      </c>
      <c r="B400" s="6" t="s">
        <v>63</v>
      </c>
      <c r="C400" s="6" t="s">
        <v>177</v>
      </c>
      <c r="D400" s="6" t="s">
        <v>521</v>
      </c>
      <c r="E400" s="6" t="s">
        <v>25</v>
      </c>
      <c r="F400" s="6"/>
      <c r="G400" s="6"/>
      <c r="H400" s="6" t="s">
        <v>25</v>
      </c>
      <c r="I400" s="6" t="s">
        <v>177</v>
      </c>
      <c r="J400" s="6" t="s">
        <v>51</v>
      </c>
      <c r="K400" s="6" t="s">
        <v>52</v>
      </c>
      <c r="L400" s="6" t="s">
        <v>53</v>
      </c>
      <c r="M400" s="6" t="s">
        <v>211</v>
      </c>
      <c r="N400" s="6" t="s">
        <v>212</v>
      </c>
      <c r="O400" s="6" t="s">
        <v>33</v>
      </c>
      <c r="P400" s="1" t="str">
        <f aca="false">IF(H400="Yes",IF(J400="MLS","Pro - MLS",IF(J400="MLS NEXT Pro","Pro - MLS NEXT Pro",IF(J400="USL Championship","Pro - USL Championship",IF(J400="USL League One","Pro - USL League One","Pro - Other")))),IF(H400="No",IF(K400="Amateur / Pre-Professional","Amateur / Pre-Professional","Returned to College"),"Unknown"))</f>
        <v>Returned to College</v>
      </c>
      <c r="Q400" s="1" t="str">
        <f aca="false">IF(E400="Yes","Yes","No")</f>
        <v>No</v>
      </c>
      <c r="R400" s="1" t="str">
        <f aca="false">IF(H400="Yes","Yes","No")</f>
        <v>No</v>
      </c>
      <c r="S400" s="2" t="s">
        <v>182</v>
      </c>
      <c r="T400" s="2" t="s">
        <v>35</v>
      </c>
      <c r="U400" s="2" t="s">
        <v>36</v>
      </c>
    </row>
    <row r="401" customFormat="false" ht="15" hidden="false" customHeight="true" outlineLevel="0" collapsed="false">
      <c r="A401" s="6" t="s">
        <v>1323</v>
      </c>
      <c r="B401" s="6" t="s">
        <v>63</v>
      </c>
      <c r="C401" s="6" t="s">
        <v>630</v>
      </c>
      <c r="D401" s="6" t="s">
        <v>66</v>
      </c>
      <c r="E401" s="6" t="s">
        <v>25</v>
      </c>
      <c r="F401" s="6"/>
      <c r="G401" s="6"/>
      <c r="H401" s="6"/>
      <c r="I401" s="6"/>
      <c r="J401" s="6"/>
      <c r="K401" s="6" t="s">
        <v>88</v>
      </c>
      <c r="L401" s="6" t="s">
        <v>30</v>
      </c>
      <c r="M401" s="6"/>
      <c r="N401" s="6"/>
      <c r="O401" s="6" t="s">
        <v>71</v>
      </c>
      <c r="P401" s="1" t="str">
        <f aca="false">IF(H401="Yes",IF(J401="MLS","Pro - MLS",IF(J401="MLS NEXT Pro","Pro - MLS NEXT Pro",IF(J401="USL Championship","Pro - USL Championship",IF(J401="USL League One","Pro - USL League One","Pro - Other")))),IF(H401="No",IF(K401="Amateur / Pre-Professional","Amateur / Pre-Professional","Returned to College"),"Unknown"))</f>
        <v>Unknown</v>
      </c>
      <c r="Q401" s="1" t="str">
        <f aca="false">IF(E401="Yes","Yes","No")</f>
        <v>No</v>
      </c>
      <c r="R401" s="1" t="str">
        <f aca="false">IF(H401="Yes","Yes","No")</f>
        <v>No</v>
      </c>
      <c r="S401" s="2" t="s">
        <v>1324</v>
      </c>
      <c r="T401" s="2" t="s">
        <v>35</v>
      </c>
      <c r="U401" s="2" t="s">
        <v>36</v>
      </c>
    </row>
    <row r="402" customFormat="false" ht="15" hidden="false" customHeight="true" outlineLevel="0" collapsed="false">
      <c r="A402" s="6" t="s">
        <v>1325</v>
      </c>
      <c r="B402" s="6" t="s">
        <v>38</v>
      </c>
      <c r="C402" s="6" t="s">
        <v>305</v>
      </c>
      <c r="D402" s="6"/>
      <c r="E402" s="6" t="s">
        <v>25</v>
      </c>
      <c r="F402" s="6"/>
      <c r="G402" s="6"/>
      <c r="H402" s="6" t="s">
        <v>25</v>
      </c>
      <c r="I402" s="6" t="s">
        <v>305</v>
      </c>
      <c r="J402" s="6" t="s">
        <v>51</v>
      </c>
      <c r="K402" s="6" t="s">
        <v>52</v>
      </c>
      <c r="L402" s="6" t="s">
        <v>83</v>
      </c>
      <c r="M402" s="6" t="s">
        <v>443</v>
      </c>
      <c r="N402" s="6" t="s">
        <v>1326</v>
      </c>
      <c r="O402" s="6" t="s">
        <v>33</v>
      </c>
      <c r="P402" s="1" t="str">
        <f aca="false">IF(H402="Yes",IF(J402="MLS","Pro - MLS",IF(J402="MLS NEXT Pro","Pro - MLS NEXT Pro",IF(J402="USL Championship","Pro - USL Championship",IF(J402="USL League One","Pro - USL League One","Pro - Other")))),IF(H402="No",IF(K402="Amateur / Pre-Professional","Amateur / Pre-Professional","Returned to College"),"Unknown"))</f>
        <v>Returned to College</v>
      </c>
      <c r="Q402" s="1" t="str">
        <f aca="false">IF(E402="Yes","Yes","No")</f>
        <v>No</v>
      </c>
      <c r="R402" s="1" t="str">
        <f aca="false">IF(H402="Yes","Yes","No")</f>
        <v>No</v>
      </c>
      <c r="S402" s="2" t="s">
        <v>307</v>
      </c>
      <c r="T402" s="2" t="s">
        <v>35</v>
      </c>
      <c r="U402" s="2" t="s">
        <v>36</v>
      </c>
    </row>
    <row r="403" customFormat="false" ht="15" hidden="false" customHeight="true" outlineLevel="0" collapsed="false">
      <c r="A403" s="6" t="s">
        <v>1327</v>
      </c>
      <c r="B403" s="6" t="s">
        <v>48</v>
      </c>
      <c r="C403" s="6" t="s">
        <v>1328</v>
      </c>
      <c r="D403" s="6" t="s">
        <v>306</v>
      </c>
      <c r="E403" s="6" t="s">
        <v>25</v>
      </c>
      <c r="F403" s="6"/>
      <c r="G403" s="6"/>
      <c r="H403" s="6"/>
      <c r="I403" s="6"/>
      <c r="J403" s="6"/>
      <c r="K403" s="6" t="s">
        <v>88</v>
      </c>
      <c r="L403" s="6" t="s">
        <v>30</v>
      </c>
      <c r="M403" s="6"/>
      <c r="N403" s="6"/>
      <c r="O403" s="6" t="s">
        <v>71</v>
      </c>
      <c r="P403" s="1" t="str">
        <f aca="false">IF(H403="Yes",IF(J403="MLS","Pro - MLS",IF(J403="MLS NEXT Pro","Pro - MLS NEXT Pro",IF(J403="USL Championship","Pro - USL Championship",IF(J403="USL League One","Pro - USL League One","Pro - Other")))),IF(H403="No",IF(K403="Amateur / Pre-Professional","Amateur / Pre-Professional","Returned to College"),"Unknown"))</f>
        <v>Unknown</v>
      </c>
      <c r="Q403" s="1" t="str">
        <f aca="false">IF(E403="Yes","Yes","No")</f>
        <v>No</v>
      </c>
      <c r="R403" s="1" t="str">
        <f aca="false">IF(H403="Yes","Yes","No")</f>
        <v>No</v>
      </c>
      <c r="S403" s="2" t="s">
        <v>1329</v>
      </c>
      <c r="T403" s="2" t="s">
        <v>35</v>
      </c>
      <c r="U403" s="2" t="s">
        <v>36</v>
      </c>
    </row>
    <row r="404" customFormat="false" ht="15" hidden="false" customHeight="true" outlineLevel="0" collapsed="false">
      <c r="A404" s="6" t="s">
        <v>1330</v>
      </c>
      <c r="B404" s="6" t="s">
        <v>22</v>
      </c>
      <c r="C404" s="6" t="s">
        <v>177</v>
      </c>
      <c r="D404" s="6" t="s">
        <v>112</v>
      </c>
      <c r="E404" s="6" t="s">
        <v>25</v>
      </c>
      <c r="F404" s="6"/>
      <c r="G404" s="6"/>
      <c r="H404" s="6" t="s">
        <v>26</v>
      </c>
      <c r="I404" s="6" t="s">
        <v>360</v>
      </c>
      <c r="J404" s="6" t="s">
        <v>361</v>
      </c>
      <c r="K404" s="6" t="s">
        <v>29</v>
      </c>
      <c r="L404" s="6" t="s">
        <v>30</v>
      </c>
      <c r="M404" s="6" t="s">
        <v>1331</v>
      </c>
      <c r="N404" s="6" t="s">
        <v>1332</v>
      </c>
      <c r="O404" s="6" t="s">
        <v>33</v>
      </c>
      <c r="P404" s="1" t="str">
        <f aca="false">IF(H404="Yes",IF(J404="MLS","Pro - MLS",IF(J404="MLS NEXT Pro","Pro - MLS NEXT Pro",IF(J404="USL Championship","Pro - USL Championship",IF(J404="USL League One","Pro - USL League One","Pro - Other")))),IF(H404="No",IF(K404="Amateur / Pre-Professional","Amateur / Pre-Professional","Returned to College"),"Unknown"))</f>
        <v>Pro - USL Championship</v>
      </c>
      <c r="Q404" s="1" t="str">
        <f aca="false">IF(E404="Yes","Yes","No")</f>
        <v>No</v>
      </c>
      <c r="R404" s="1" t="str">
        <f aca="false">IF(H404="Yes","Yes","No")</f>
        <v>Yes</v>
      </c>
      <c r="S404" s="2" t="s">
        <v>182</v>
      </c>
      <c r="T404" s="2" t="s">
        <v>35</v>
      </c>
      <c r="U404" s="2" t="s">
        <v>36</v>
      </c>
    </row>
    <row r="405" customFormat="false" ht="15" hidden="false" customHeight="true" outlineLevel="0" collapsed="false">
      <c r="A405" s="6" t="s">
        <v>1333</v>
      </c>
      <c r="B405" s="6" t="s">
        <v>63</v>
      </c>
      <c r="C405" s="6" t="s">
        <v>261</v>
      </c>
      <c r="D405" s="6"/>
      <c r="E405" s="6" t="s">
        <v>25</v>
      </c>
      <c r="F405" s="6"/>
      <c r="G405" s="6"/>
      <c r="H405" s="6" t="s">
        <v>25</v>
      </c>
      <c r="I405" s="6" t="s">
        <v>261</v>
      </c>
      <c r="J405" s="6" t="s">
        <v>51</v>
      </c>
      <c r="K405" s="6" t="s">
        <v>52</v>
      </c>
      <c r="L405" s="6" t="s">
        <v>30</v>
      </c>
      <c r="M405" s="6" t="s">
        <v>262</v>
      </c>
      <c r="N405" s="6" t="s">
        <v>1334</v>
      </c>
      <c r="O405" s="6" t="s">
        <v>33</v>
      </c>
      <c r="P405" s="1" t="str">
        <f aca="false">IF(H405="Yes",IF(J405="MLS","Pro - MLS",IF(J405="MLS NEXT Pro","Pro - MLS NEXT Pro",IF(J405="USL Championship","Pro - USL Championship",IF(J405="USL League One","Pro - USL League One","Pro - Other")))),IF(H405="No",IF(K405="Amateur / Pre-Professional","Amateur / Pre-Professional","Returned to College"),"Unknown"))</f>
        <v>Returned to College</v>
      </c>
      <c r="Q405" s="1" t="str">
        <f aca="false">IF(E405="Yes","Yes","No")</f>
        <v>No</v>
      </c>
      <c r="R405" s="1" t="str">
        <f aca="false">IF(H405="Yes","Yes","No")</f>
        <v>No</v>
      </c>
      <c r="S405" s="2" t="s">
        <v>744</v>
      </c>
      <c r="T405" s="2" t="s">
        <v>35</v>
      </c>
      <c r="U405" s="2" t="s">
        <v>36</v>
      </c>
    </row>
    <row r="406" customFormat="false" ht="15" hidden="false" customHeight="true" outlineLevel="0" collapsed="false">
      <c r="A406" s="6" t="s">
        <v>1335</v>
      </c>
      <c r="B406" s="6" t="s">
        <v>38</v>
      </c>
      <c r="C406" s="6" t="s">
        <v>1336</v>
      </c>
      <c r="D406" s="6" t="s">
        <v>601</v>
      </c>
      <c r="E406" s="6" t="s">
        <v>25</v>
      </c>
      <c r="F406" s="6"/>
      <c r="G406" s="6"/>
      <c r="H406" s="6"/>
      <c r="I406" s="6"/>
      <c r="J406" s="6"/>
      <c r="K406" s="6" t="s">
        <v>88</v>
      </c>
      <c r="L406" s="6" t="s">
        <v>30</v>
      </c>
      <c r="M406" s="6"/>
      <c r="N406" s="6"/>
      <c r="O406" s="6" t="s">
        <v>71</v>
      </c>
      <c r="P406" s="1" t="str">
        <f aca="false">IF(H406="Yes",IF(J406="MLS","Pro - MLS",IF(J406="MLS NEXT Pro","Pro - MLS NEXT Pro",IF(J406="USL Championship","Pro - USL Championship",IF(J406="USL League One","Pro - USL League One","Pro - Other")))),IF(H406="No",IF(K406="Amateur / Pre-Professional","Amateur / Pre-Professional","Returned to College"),"Unknown"))</f>
        <v>Unknown</v>
      </c>
      <c r="Q406" s="1" t="str">
        <f aca="false">IF(E406="Yes","Yes","No")</f>
        <v>No</v>
      </c>
      <c r="R406" s="1" t="str">
        <f aca="false">IF(H406="Yes","Yes","No")</f>
        <v>No</v>
      </c>
      <c r="S406" s="2" t="s">
        <v>1337</v>
      </c>
      <c r="T406" s="2" t="s">
        <v>35</v>
      </c>
      <c r="U406" s="2" t="s">
        <v>36</v>
      </c>
    </row>
    <row r="407" customFormat="false" ht="15" hidden="false" customHeight="true" outlineLevel="0" collapsed="false">
      <c r="A407" s="6" t="s">
        <v>1338</v>
      </c>
      <c r="B407" s="6" t="s">
        <v>48</v>
      </c>
      <c r="C407" s="6" t="s">
        <v>566</v>
      </c>
      <c r="D407" s="6"/>
      <c r="E407" s="6" t="s">
        <v>25</v>
      </c>
      <c r="F407" s="6"/>
      <c r="G407" s="6"/>
      <c r="H407" s="6"/>
      <c r="I407" s="6"/>
      <c r="J407" s="6"/>
      <c r="K407" s="6" t="s">
        <v>88</v>
      </c>
      <c r="L407" s="6" t="s">
        <v>30</v>
      </c>
      <c r="M407" s="6"/>
      <c r="N407" s="6"/>
      <c r="O407" s="6" t="s">
        <v>71</v>
      </c>
      <c r="P407" s="1" t="str">
        <f aca="false">IF(H407="Yes",IF(J407="MLS","Pro - MLS",IF(J407="MLS NEXT Pro","Pro - MLS NEXT Pro",IF(J407="USL Championship","Pro - USL Championship",IF(J407="USL League One","Pro - USL League One","Pro - Other")))),IF(H407="No",IF(K407="Amateur / Pre-Professional","Amateur / Pre-Professional","Returned to College"),"Unknown"))</f>
        <v>Unknown</v>
      </c>
      <c r="Q407" s="1" t="str">
        <f aca="false">IF(E407="Yes","Yes","No")</f>
        <v>No</v>
      </c>
      <c r="R407" s="1" t="str">
        <f aca="false">IF(H407="Yes","Yes","No")</f>
        <v>No</v>
      </c>
      <c r="S407" s="2" t="s">
        <v>570</v>
      </c>
      <c r="T407" s="2" t="s">
        <v>35</v>
      </c>
      <c r="U407" s="2" t="s">
        <v>36</v>
      </c>
    </row>
    <row r="408" customFormat="false" ht="27.75" hidden="false" customHeight="true" outlineLevel="0" collapsed="false">
      <c r="A408" s="6" t="s">
        <v>1339</v>
      </c>
      <c r="B408" s="6" t="s">
        <v>22</v>
      </c>
      <c r="C408" s="6" t="s">
        <v>331</v>
      </c>
      <c r="D408" s="6"/>
      <c r="E408" s="6" t="s">
        <v>25</v>
      </c>
      <c r="F408" s="6"/>
      <c r="G408" s="6"/>
      <c r="H408" s="6"/>
      <c r="I408" s="6"/>
      <c r="J408" s="6"/>
      <c r="K408" s="6" t="s">
        <v>88</v>
      </c>
      <c r="L408" s="6" t="s">
        <v>53</v>
      </c>
      <c r="M408" s="6"/>
      <c r="N408" s="6"/>
      <c r="O408" s="6" t="s">
        <v>71</v>
      </c>
      <c r="P408" s="1" t="str">
        <f aca="false">IF(H408="Yes",IF(J408="MLS","Pro - MLS",IF(J408="MLS NEXT Pro","Pro - MLS NEXT Pro",IF(J408="USL Championship","Pro - USL Championship",IF(J408="USL League One","Pro - USL League One","Pro - Other")))),IF(H408="No",IF(K408="Amateur / Pre-Professional","Amateur / Pre-Professional","Returned to College"),"Unknown"))</f>
        <v>Unknown</v>
      </c>
      <c r="Q408" s="1" t="str">
        <f aca="false">IF(E408="Yes","Yes","No")</f>
        <v>No</v>
      </c>
      <c r="R408" s="1" t="str">
        <f aca="false">IF(H408="Yes","Yes","No")</f>
        <v>No</v>
      </c>
      <c r="S408" s="2" t="s">
        <v>1340</v>
      </c>
      <c r="T408" s="2" t="s">
        <v>35</v>
      </c>
      <c r="U408" s="2" t="s">
        <v>36</v>
      </c>
    </row>
    <row r="409" customFormat="false" ht="15" hidden="false" customHeight="true" outlineLevel="0" collapsed="false">
      <c r="A409" s="6" t="s">
        <v>1341</v>
      </c>
      <c r="B409" s="6" t="s">
        <v>22</v>
      </c>
      <c r="C409" s="6" t="s">
        <v>179</v>
      </c>
      <c r="D409" s="6"/>
      <c r="E409" s="6" t="s">
        <v>25</v>
      </c>
      <c r="F409" s="6"/>
      <c r="G409" s="6"/>
      <c r="H409" s="6" t="s">
        <v>25</v>
      </c>
      <c r="I409" s="6" t="s">
        <v>179</v>
      </c>
      <c r="J409" s="6" t="s">
        <v>51</v>
      </c>
      <c r="K409" s="6" t="s">
        <v>52</v>
      </c>
      <c r="L409" s="6" t="s">
        <v>83</v>
      </c>
      <c r="M409" s="6" t="s">
        <v>704</v>
      </c>
      <c r="N409" s="6" t="s">
        <v>1342</v>
      </c>
      <c r="O409" s="6" t="s">
        <v>33</v>
      </c>
      <c r="P409" s="1" t="str">
        <f aca="false">IF(H409="Yes",IF(J409="MLS","Pro - MLS",IF(J409="MLS NEXT Pro","Pro - MLS NEXT Pro",IF(J409="USL Championship","Pro - USL Championship",IF(J409="USL League One","Pro - USL League One","Pro - Other")))),IF(H409="No",IF(K409="Amateur / Pre-Professional","Amateur / Pre-Professional","Returned to College"),"Unknown"))</f>
        <v>Returned to College</v>
      </c>
      <c r="Q409" s="1" t="str">
        <f aca="false">IF(E409="Yes","Yes","No")</f>
        <v>No</v>
      </c>
      <c r="R409" s="1" t="str">
        <f aca="false">IF(H409="Yes","Yes","No")</f>
        <v>No</v>
      </c>
      <c r="S409" s="2" t="s">
        <v>635</v>
      </c>
      <c r="T409" s="2" t="s">
        <v>35</v>
      </c>
      <c r="U409" s="2" t="s">
        <v>36</v>
      </c>
    </row>
    <row r="410" customFormat="false" ht="27.75" hidden="false" customHeight="true" outlineLevel="0" collapsed="false">
      <c r="A410" s="6" t="s">
        <v>1343</v>
      </c>
      <c r="B410" s="6" t="s">
        <v>63</v>
      </c>
      <c r="C410" s="6" t="s">
        <v>189</v>
      </c>
      <c r="D410" s="6"/>
      <c r="E410" s="6" t="s">
        <v>26</v>
      </c>
      <c r="F410" s="6" t="n">
        <v>84</v>
      </c>
      <c r="G410" s="6" t="s">
        <v>612</v>
      </c>
      <c r="H410" s="6" t="s">
        <v>25</v>
      </c>
      <c r="I410" s="6" t="s">
        <v>189</v>
      </c>
      <c r="J410" s="6" t="s">
        <v>51</v>
      </c>
      <c r="K410" s="6" t="s">
        <v>52</v>
      </c>
      <c r="L410" s="6" t="s">
        <v>53</v>
      </c>
      <c r="M410" s="6" t="s">
        <v>578</v>
      </c>
      <c r="N410" s="6" t="s">
        <v>1344</v>
      </c>
      <c r="O410" s="6" t="s">
        <v>33</v>
      </c>
      <c r="P410" s="1" t="str">
        <f aca="false">IF(H410="Yes",IF(J410="MLS","Pro - MLS",IF(J410="MLS NEXT Pro","Pro - MLS NEXT Pro",IF(J410="USL Championship","Pro - USL Championship",IF(J410="USL League One","Pro - USL League One","Pro - Other")))),IF(H410="No",IF(K410="Amateur / Pre-Professional","Amateur / Pre-Professional","Returned to College"),"Unknown"))</f>
        <v>Returned to College</v>
      </c>
      <c r="Q410" s="1" t="str">
        <f aca="false">IF(E410="Yes","Yes","No")</f>
        <v>Yes</v>
      </c>
      <c r="R410" s="1" t="str">
        <f aca="false">IF(H410="Yes","Yes","No")</f>
        <v>No</v>
      </c>
      <c r="U410" s="2" t="s">
        <v>56</v>
      </c>
    </row>
    <row r="411" customFormat="false" ht="15" hidden="false" customHeight="true" outlineLevel="0" collapsed="false">
      <c r="A411" s="6" t="s">
        <v>1345</v>
      </c>
      <c r="B411" s="6" t="s">
        <v>63</v>
      </c>
      <c r="C411" s="6" t="s">
        <v>81</v>
      </c>
      <c r="D411" s="6" t="s">
        <v>472</v>
      </c>
      <c r="E411" s="6" t="s">
        <v>25</v>
      </c>
      <c r="F411" s="6"/>
      <c r="G411" s="6"/>
      <c r="H411" s="6" t="s">
        <v>26</v>
      </c>
      <c r="I411" s="6" t="s">
        <v>219</v>
      </c>
      <c r="J411" s="6" t="s">
        <v>76</v>
      </c>
      <c r="K411" s="6" t="s">
        <v>29</v>
      </c>
      <c r="L411" s="6" t="s">
        <v>30</v>
      </c>
      <c r="M411" s="6" t="s">
        <v>1346</v>
      </c>
      <c r="N411" s="6" t="s">
        <v>1347</v>
      </c>
      <c r="O411" s="6" t="s">
        <v>33</v>
      </c>
      <c r="P411" s="1" t="str">
        <f aca="false">IF(H411="Yes",IF(J411="MLS","Pro - MLS",IF(J411="MLS NEXT Pro","Pro - MLS NEXT Pro",IF(J411="USL Championship","Pro - USL Championship",IF(J411="USL League One","Pro - USL League One","Pro - Other")))),IF(H411="No",IF(K411="Amateur / Pre-Professional","Amateur / Pre-Professional","Returned to College"),"Unknown"))</f>
        <v>Pro - MLS NEXT Pro</v>
      </c>
      <c r="Q411" s="1" t="str">
        <f aca="false">IF(E411="Yes","Yes","No")</f>
        <v>No</v>
      </c>
      <c r="R411" s="1" t="str">
        <f aca="false">IF(H411="Yes","Yes","No")</f>
        <v>Yes</v>
      </c>
      <c r="U411" s="2" t="s">
        <v>56</v>
      </c>
    </row>
    <row r="412" customFormat="false" ht="15" hidden="false" customHeight="true" outlineLevel="0" collapsed="false">
      <c r="A412" s="6" t="s">
        <v>1348</v>
      </c>
      <c r="B412" s="6" t="s">
        <v>63</v>
      </c>
      <c r="C412" s="6" t="s">
        <v>920</v>
      </c>
      <c r="D412" s="6" t="s">
        <v>210</v>
      </c>
      <c r="E412" s="6" t="s">
        <v>25</v>
      </c>
      <c r="F412" s="6"/>
      <c r="G412" s="6"/>
      <c r="H412" s="6"/>
      <c r="I412" s="6"/>
      <c r="J412" s="6"/>
      <c r="K412" s="6" t="s">
        <v>88</v>
      </c>
      <c r="L412" s="6" t="s">
        <v>92</v>
      </c>
      <c r="M412" s="6"/>
      <c r="N412" s="6"/>
      <c r="O412" s="6" t="s">
        <v>71</v>
      </c>
      <c r="P412" s="1" t="str">
        <f aca="false">IF(H412="Yes",IF(J412="MLS","Pro - MLS",IF(J412="MLS NEXT Pro","Pro - MLS NEXT Pro",IF(J412="USL Championship","Pro - USL Championship",IF(J412="USL League One","Pro - USL League One","Pro - Other")))),IF(H412="No",IF(K412="Amateur / Pre-Professional","Amateur / Pre-Professional","Returned to College"),"Unknown"))</f>
        <v>Unknown</v>
      </c>
      <c r="Q412" s="1" t="str">
        <f aca="false">IF(E412="Yes","Yes","No")</f>
        <v>No</v>
      </c>
      <c r="R412" s="1" t="str">
        <f aca="false">IF(H412="Yes","Yes","No")</f>
        <v>No</v>
      </c>
      <c r="S412" s="2" t="s">
        <v>1157</v>
      </c>
      <c r="T412" s="2" t="s">
        <v>35</v>
      </c>
      <c r="U412" s="2" t="s">
        <v>36</v>
      </c>
    </row>
    <row r="413" customFormat="false" ht="15" hidden="false" customHeight="true" outlineLevel="0" collapsed="false">
      <c r="A413" s="6" t="s">
        <v>1349</v>
      </c>
      <c r="B413" s="6" t="s">
        <v>22</v>
      </c>
      <c r="C413" s="6" t="s">
        <v>97</v>
      </c>
      <c r="D413" s="6" t="s">
        <v>499</v>
      </c>
      <c r="E413" s="6" t="s">
        <v>25</v>
      </c>
      <c r="F413" s="6"/>
      <c r="G413" s="6"/>
      <c r="H413" s="6"/>
      <c r="I413" s="6"/>
      <c r="J413" s="6"/>
      <c r="K413" s="6" t="s">
        <v>88</v>
      </c>
      <c r="L413" s="6" t="s">
        <v>30</v>
      </c>
      <c r="M413" s="6"/>
      <c r="N413" s="6"/>
      <c r="O413" s="6" t="s">
        <v>71</v>
      </c>
      <c r="P413" s="1" t="str">
        <f aca="false">IF(H413="Yes",IF(J413="MLS","Pro - MLS",IF(J413="MLS NEXT Pro","Pro - MLS NEXT Pro",IF(J413="USL Championship","Pro - USL Championship",IF(J413="USL League One","Pro - USL League One","Pro - Other")))),IF(H413="No",IF(K413="Amateur / Pre-Professional","Amateur / Pre-Professional","Returned to College"),"Unknown"))</f>
        <v>Unknown</v>
      </c>
      <c r="Q413" s="1" t="str">
        <f aca="false">IF(E413="Yes","Yes","No")</f>
        <v>No</v>
      </c>
      <c r="R413" s="1" t="str">
        <f aca="false">IF(H413="Yes","Yes","No")</f>
        <v>No</v>
      </c>
      <c r="S413" s="2" t="s">
        <v>98</v>
      </c>
      <c r="T413" s="2" t="s">
        <v>35</v>
      </c>
      <c r="U413" s="2" t="s">
        <v>36</v>
      </c>
    </row>
    <row r="414" customFormat="false" ht="15" hidden="false" customHeight="true" outlineLevel="0" collapsed="false">
      <c r="A414" s="6" t="s">
        <v>1350</v>
      </c>
      <c r="B414" s="6" t="s">
        <v>48</v>
      </c>
      <c r="C414" s="6" t="s">
        <v>1351</v>
      </c>
      <c r="D414" s="6" t="s">
        <v>251</v>
      </c>
      <c r="E414" s="6" t="s">
        <v>25</v>
      </c>
      <c r="F414" s="6"/>
      <c r="G414" s="6"/>
      <c r="H414" s="6"/>
      <c r="I414" s="6"/>
      <c r="J414" s="6"/>
      <c r="K414" s="6" t="s">
        <v>88</v>
      </c>
      <c r="L414" s="6" t="s">
        <v>30</v>
      </c>
      <c r="M414" s="6"/>
      <c r="N414" s="6"/>
      <c r="O414" s="6" t="s">
        <v>71</v>
      </c>
      <c r="P414" s="1" t="str">
        <f aca="false">IF(H414="Yes",IF(J414="MLS","Pro - MLS",IF(J414="MLS NEXT Pro","Pro - MLS NEXT Pro",IF(J414="USL Championship","Pro - USL Championship",IF(J414="USL League One","Pro - USL League One","Pro - Other")))),IF(H414="No",IF(K414="Amateur / Pre-Professional","Amateur / Pre-Professional","Returned to College"),"Unknown"))</f>
        <v>Unknown</v>
      </c>
      <c r="Q414" s="1" t="str">
        <f aca="false">IF(E414="Yes","Yes","No")</f>
        <v>No</v>
      </c>
      <c r="R414" s="1" t="str">
        <f aca="false">IF(H414="Yes","Yes","No")</f>
        <v>No</v>
      </c>
      <c r="S414" s="2" t="s">
        <v>1352</v>
      </c>
      <c r="T414" s="2" t="s">
        <v>35</v>
      </c>
      <c r="U414" s="2" t="s">
        <v>36</v>
      </c>
    </row>
    <row r="415" customFormat="false" ht="15" hidden="false" customHeight="true" outlineLevel="0" collapsed="false">
      <c r="A415" s="6" t="s">
        <v>1353</v>
      </c>
      <c r="B415" s="6" t="s">
        <v>48</v>
      </c>
      <c r="C415" s="6" t="s">
        <v>189</v>
      </c>
      <c r="D415" s="6" t="s">
        <v>121</v>
      </c>
      <c r="E415" s="6" t="s">
        <v>25</v>
      </c>
      <c r="F415" s="6"/>
      <c r="G415" s="6"/>
      <c r="H415" s="6"/>
      <c r="I415" s="6"/>
      <c r="J415" s="6"/>
      <c r="K415" s="6" t="s">
        <v>88</v>
      </c>
      <c r="L415" s="6" t="s">
        <v>30</v>
      </c>
      <c r="M415" s="6"/>
      <c r="N415" s="6"/>
      <c r="O415" s="6" t="s">
        <v>71</v>
      </c>
      <c r="P415" s="1" t="str">
        <f aca="false">IF(H415="Yes",IF(J415="MLS","Pro - MLS",IF(J415="MLS NEXT Pro","Pro - MLS NEXT Pro",IF(J415="USL Championship","Pro - USL Championship",IF(J415="USL League One","Pro - USL League One","Pro - Other")))),IF(H415="No",IF(K415="Amateur / Pre-Professional","Amateur / Pre-Professional","Returned to College"),"Unknown"))</f>
        <v>Unknown</v>
      </c>
      <c r="Q415" s="1" t="str">
        <f aca="false">IF(E415="Yes","Yes","No")</f>
        <v>No</v>
      </c>
      <c r="R415" s="1" t="str">
        <f aca="false">IF(H415="Yes","Yes","No")</f>
        <v>No</v>
      </c>
      <c r="S415" s="2" t="s">
        <v>190</v>
      </c>
      <c r="T415" s="2" t="s">
        <v>35</v>
      </c>
      <c r="U415" s="2" t="s">
        <v>36</v>
      </c>
    </row>
    <row r="416" customFormat="false" ht="15" hidden="false" customHeight="true" outlineLevel="0" collapsed="false">
      <c r="A416" s="6" t="s">
        <v>1354</v>
      </c>
      <c r="B416" s="6" t="s">
        <v>48</v>
      </c>
      <c r="C416" s="6" t="s">
        <v>1067</v>
      </c>
      <c r="D416" s="6" t="s">
        <v>1355</v>
      </c>
      <c r="E416" s="6" t="s">
        <v>25</v>
      </c>
      <c r="F416" s="6"/>
      <c r="G416" s="6"/>
      <c r="H416" s="6"/>
      <c r="I416" s="6"/>
      <c r="J416" s="6"/>
      <c r="K416" s="6" t="s">
        <v>88</v>
      </c>
      <c r="L416" s="6" t="s">
        <v>30</v>
      </c>
      <c r="M416" s="6"/>
      <c r="N416" s="6"/>
      <c r="O416" s="6" t="s">
        <v>71</v>
      </c>
      <c r="P416" s="1" t="str">
        <f aca="false">IF(H416="Yes",IF(J416="MLS","Pro - MLS",IF(J416="MLS NEXT Pro","Pro - MLS NEXT Pro",IF(J416="USL Championship","Pro - USL Championship",IF(J416="USL League One","Pro - USL League One","Pro - Other")))),IF(H416="No",IF(K416="Amateur / Pre-Professional","Amateur / Pre-Professional","Returned to College"),"Unknown"))</f>
        <v>Unknown</v>
      </c>
      <c r="Q416" s="1" t="str">
        <f aca="false">IF(E416="Yes","Yes","No")</f>
        <v>No</v>
      </c>
      <c r="R416" s="1" t="str">
        <f aca="false">IF(H416="Yes","Yes","No")</f>
        <v>No</v>
      </c>
      <c r="S416" s="2" t="s">
        <v>1356</v>
      </c>
      <c r="T416" s="2" t="s">
        <v>35</v>
      </c>
      <c r="U416" s="2" t="s">
        <v>36</v>
      </c>
    </row>
    <row r="417" customFormat="false" ht="15" hidden="false" customHeight="true" outlineLevel="0" collapsed="false">
      <c r="A417" s="6" t="s">
        <v>1357</v>
      </c>
      <c r="B417" s="6" t="s">
        <v>48</v>
      </c>
      <c r="C417" s="6" t="s">
        <v>189</v>
      </c>
      <c r="D417" s="6"/>
      <c r="E417" s="6" t="s">
        <v>25</v>
      </c>
      <c r="F417" s="6"/>
      <c r="G417" s="6"/>
      <c r="H417" s="6"/>
      <c r="I417" s="6"/>
      <c r="J417" s="6"/>
      <c r="K417" s="6" t="s">
        <v>88</v>
      </c>
      <c r="L417" s="6" t="s">
        <v>43</v>
      </c>
      <c r="M417" s="6"/>
      <c r="N417" s="6"/>
      <c r="O417" s="6" t="s">
        <v>71</v>
      </c>
      <c r="P417" s="1" t="str">
        <f aca="false">IF(H417="Yes",IF(J417="MLS","Pro - MLS",IF(J417="MLS NEXT Pro","Pro - MLS NEXT Pro",IF(J417="USL Championship","Pro - USL Championship",IF(J417="USL League One","Pro - USL League One","Pro - Other")))),IF(H417="No",IF(K417="Amateur / Pre-Professional","Amateur / Pre-Professional","Returned to College"),"Unknown"))</f>
        <v>Unknown</v>
      </c>
      <c r="Q417" s="1" t="str">
        <f aca="false">IF(E417="Yes","Yes","No")</f>
        <v>No</v>
      </c>
      <c r="R417" s="1" t="str">
        <f aca="false">IF(H417="Yes","Yes","No")</f>
        <v>No</v>
      </c>
      <c r="S417" s="2" t="s">
        <v>190</v>
      </c>
      <c r="T417" s="2" t="s">
        <v>35</v>
      </c>
      <c r="U417" s="2" t="s">
        <v>36</v>
      </c>
    </row>
    <row r="418" customFormat="false" ht="15" hidden="false" customHeight="true" outlineLevel="0" collapsed="false">
      <c r="A418" s="6" t="s">
        <v>1358</v>
      </c>
      <c r="B418" s="6" t="s">
        <v>48</v>
      </c>
      <c r="C418" s="6" t="s">
        <v>86</v>
      </c>
      <c r="D418" s="6" t="s">
        <v>401</v>
      </c>
      <c r="E418" s="6" t="s">
        <v>25</v>
      </c>
      <c r="F418" s="6"/>
      <c r="G418" s="6"/>
      <c r="H418" s="6"/>
      <c r="I418" s="6"/>
      <c r="J418" s="6"/>
      <c r="K418" s="6" t="s">
        <v>88</v>
      </c>
      <c r="L418" s="6" t="s">
        <v>30</v>
      </c>
      <c r="M418" s="6"/>
      <c r="N418" s="6"/>
      <c r="O418" s="6" t="s">
        <v>71</v>
      </c>
      <c r="P418" s="1" t="str">
        <f aca="false">IF(H418="Yes",IF(J418="MLS","Pro - MLS",IF(J418="MLS NEXT Pro","Pro - MLS NEXT Pro",IF(J418="USL Championship","Pro - USL Championship",IF(J418="USL League One","Pro - USL League One","Pro - Other")))),IF(H418="No",IF(K418="Amateur / Pre-Professional","Amateur / Pre-Professional","Returned to College"),"Unknown"))</f>
        <v>Unknown</v>
      </c>
      <c r="Q418" s="1" t="str">
        <f aca="false">IF(E418="Yes","Yes","No")</f>
        <v>No</v>
      </c>
      <c r="R418" s="1" t="str">
        <f aca="false">IF(H418="Yes","Yes","No")</f>
        <v>No</v>
      </c>
      <c r="S418" s="2" t="s">
        <v>1359</v>
      </c>
      <c r="T418" s="2" t="s">
        <v>35</v>
      </c>
      <c r="U418" s="2" t="s">
        <v>36</v>
      </c>
    </row>
    <row r="419" customFormat="false" ht="15" hidden="false" customHeight="true" outlineLevel="0" collapsed="false">
      <c r="A419" s="6" t="s">
        <v>1360</v>
      </c>
      <c r="B419" s="6" t="s">
        <v>22</v>
      </c>
      <c r="C419" s="6" t="s">
        <v>920</v>
      </c>
      <c r="D419" s="6" t="s">
        <v>1361</v>
      </c>
      <c r="E419" s="6" t="s">
        <v>25</v>
      </c>
      <c r="F419" s="6"/>
      <c r="G419" s="6"/>
      <c r="H419" s="6" t="s">
        <v>25</v>
      </c>
      <c r="I419" s="6" t="s">
        <v>920</v>
      </c>
      <c r="J419" s="6" t="s">
        <v>51</v>
      </c>
      <c r="K419" s="6" t="s">
        <v>52</v>
      </c>
      <c r="L419" s="6" t="s">
        <v>83</v>
      </c>
      <c r="M419" s="6" t="s">
        <v>921</v>
      </c>
      <c r="N419" s="6" t="s">
        <v>922</v>
      </c>
      <c r="O419" s="6" t="s">
        <v>33</v>
      </c>
      <c r="P419" s="1" t="str">
        <f aca="false">IF(H419="Yes",IF(J419="MLS","Pro - MLS",IF(J419="MLS NEXT Pro","Pro - MLS NEXT Pro",IF(J419="USL Championship","Pro - USL Championship",IF(J419="USL League One","Pro - USL League One","Pro - Other")))),IF(H419="No",IF(K419="Amateur / Pre-Professional","Amateur / Pre-Professional","Returned to College"),"Unknown"))</f>
        <v>Returned to College</v>
      </c>
      <c r="Q419" s="1" t="str">
        <f aca="false">IF(E419="Yes","Yes","No")</f>
        <v>No</v>
      </c>
      <c r="R419" s="1" t="str">
        <f aca="false">IF(H419="Yes","Yes","No")</f>
        <v>No</v>
      </c>
      <c r="S419" s="2" t="s">
        <v>1157</v>
      </c>
      <c r="T419" s="2" t="s">
        <v>35</v>
      </c>
      <c r="U419" s="2" t="s">
        <v>36</v>
      </c>
    </row>
    <row r="420" customFormat="false" ht="27.75" hidden="false" customHeight="true" outlineLevel="0" collapsed="false">
      <c r="A420" s="6" t="s">
        <v>1362</v>
      </c>
      <c r="B420" s="6" t="s">
        <v>38</v>
      </c>
      <c r="C420" s="6" t="s">
        <v>1083</v>
      </c>
      <c r="D420" s="6" t="s">
        <v>499</v>
      </c>
      <c r="E420" s="6" t="s">
        <v>26</v>
      </c>
      <c r="F420" s="6" t="n">
        <v>82</v>
      </c>
      <c r="G420" s="6" t="s">
        <v>50</v>
      </c>
      <c r="H420" s="6" t="s">
        <v>26</v>
      </c>
      <c r="I420" s="6" t="s">
        <v>785</v>
      </c>
      <c r="J420" s="6" t="s">
        <v>76</v>
      </c>
      <c r="K420" s="6" t="s">
        <v>29</v>
      </c>
      <c r="L420" s="6" t="s">
        <v>30</v>
      </c>
      <c r="M420" s="6" t="s">
        <v>133</v>
      </c>
      <c r="N420" s="6" t="s">
        <v>70</v>
      </c>
      <c r="O420" s="6" t="s">
        <v>71</v>
      </c>
      <c r="P420" s="1" t="str">
        <f aca="false">IF(H420="Yes",IF(J420="MLS","Pro - MLS",IF(J420="MLS NEXT Pro","Pro - MLS NEXT Pro",IF(J420="USL Championship","Pro - USL Championship",IF(J420="USL League One","Pro - USL League One","Pro - Other")))),IF(H420="No",IF(K420="Amateur / Pre-Professional","Amateur / Pre-Professional","Returned to College"),"Unknown"))</f>
        <v>Pro - MLS NEXT Pro</v>
      </c>
      <c r="Q420" s="1" t="str">
        <f aca="false">IF(E420="Yes","Yes","No")</f>
        <v>Yes</v>
      </c>
      <c r="R420" s="1" t="str">
        <f aca="false">IF(H420="Yes","Yes","No")</f>
        <v>Yes</v>
      </c>
      <c r="U420" s="2" t="s">
        <v>56</v>
      </c>
    </row>
    <row r="421" customFormat="false" ht="15" hidden="false" customHeight="true" outlineLevel="0" collapsed="false">
      <c r="A421" s="6" t="s">
        <v>1363</v>
      </c>
      <c r="B421" s="6" t="s">
        <v>22</v>
      </c>
      <c r="C421" s="6" t="s">
        <v>1364</v>
      </c>
      <c r="D421" s="6" t="s">
        <v>1296</v>
      </c>
      <c r="E421" s="6" t="s">
        <v>25</v>
      </c>
      <c r="F421" s="6"/>
      <c r="G421" s="6"/>
      <c r="H421" s="6"/>
      <c r="I421" s="6"/>
      <c r="J421" s="6"/>
      <c r="K421" s="6" t="s">
        <v>88</v>
      </c>
      <c r="L421" s="6" t="s">
        <v>83</v>
      </c>
      <c r="M421" s="6"/>
      <c r="N421" s="6"/>
      <c r="O421" s="6" t="s">
        <v>71</v>
      </c>
      <c r="P421" s="1" t="str">
        <f aca="false">IF(H421="Yes",IF(J421="MLS","Pro - MLS",IF(J421="MLS NEXT Pro","Pro - MLS NEXT Pro",IF(J421="USL Championship","Pro - USL Championship",IF(J421="USL League One","Pro - USL League One","Pro - Other")))),IF(H421="No",IF(K421="Amateur / Pre-Professional","Amateur / Pre-Professional","Returned to College"),"Unknown"))</f>
        <v>Unknown</v>
      </c>
      <c r="Q421" s="1" t="str">
        <f aca="false">IF(E421="Yes","Yes","No")</f>
        <v>No</v>
      </c>
      <c r="R421" s="1" t="str">
        <f aca="false">IF(H421="Yes","Yes","No")</f>
        <v>No</v>
      </c>
      <c r="S421" s="2" t="s">
        <v>1365</v>
      </c>
      <c r="T421" s="2" t="s">
        <v>35</v>
      </c>
      <c r="U421" s="2" t="s">
        <v>36</v>
      </c>
    </row>
    <row r="422" customFormat="false" ht="15" hidden="false" customHeight="true" outlineLevel="0" collapsed="false">
      <c r="A422" s="6" t="s">
        <v>1366</v>
      </c>
      <c r="B422" s="6" t="s">
        <v>63</v>
      </c>
      <c r="C422" s="6" t="s">
        <v>334</v>
      </c>
      <c r="D422" s="6"/>
      <c r="E422" s="6" t="s">
        <v>25</v>
      </c>
      <c r="F422" s="6"/>
      <c r="G422" s="6"/>
      <c r="H422" s="6" t="s">
        <v>26</v>
      </c>
      <c r="I422" s="6" t="s">
        <v>1367</v>
      </c>
      <c r="J422" s="6" t="s">
        <v>361</v>
      </c>
      <c r="K422" s="6" t="s">
        <v>29</v>
      </c>
      <c r="L422" s="6" t="s">
        <v>30</v>
      </c>
      <c r="M422" s="6" t="s">
        <v>1368</v>
      </c>
      <c r="N422" s="6" t="s">
        <v>1369</v>
      </c>
      <c r="O422" s="6" t="s">
        <v>33</v>
      </c>
      <c r="P422" s="1" t="str">
        <f aca="false">IF(H422="Yes",IF(J422="MLS","Pro - MLS",IF(J422="MLS NEXT Pro","Pro - MLS NEXT Pro",IF(J422="USL Championship","Pro - USL Championship",IF(J422="USL League One","Pro - USL League One","Pro - Other")))),IF(H422="No",IF(K422="Amateur / Pre-Professional","Amateur / Pre-Professional","Returned to College"),"Unknown"))</f>
        <v>Pro - USL Championship</v>
      </c>
      <c r="Q422" s="1" t="str">
        <f aca="false">IF(E422="Yes","Yes","No")</f>
        <v>No</v>
      </c>
      <c r="R422" s="1" t="str">
        <f aca="false">IF(H422="Yes","Yes","No")</f>
        <v>Yes</v>
      </c>
      <c r="S422" s="2" t="s">
        <v>338</v>
      </c>
      <c r="T422" s="2" t="s">
        <v>35</v>
      </c>
      <c r="U422" s="2" t="s">
        <v>36</v>
      </c>
    </row>
    <row r="423" customFormat="false" ht="15" hidden="false" customHeight="true" outlineLevel="0" collapsed="false">
      <c r="A423" s="6" t="s">
        <v>1370</v>
      </c>
      <c r="B423" s="6" t="s">
        <v>22</v>
      </c>
      <c r="C423" s="6" t="s">
        <v>1371</v>
      </c>
      <c r="D423" s="6" t="s">
        <v>74</v>
      </c>
      <c r="E423" s="6" t="s">
        <v>25</v>
      </c>
      <c r="F423" s="6"/>
      <c r="G423" s="6"/>
      <c r="H423" s="6"/>
      <c r="I423" s="6"/>
      <c r="J423" s="6"/>
      <c r="K423" s="6" t="s">
        <v>88</v>
      </c>
      <c r="L423" s="6" t="s">
        <v>30</v>
      </c>
      <c r="M423" s="6"/>
      <c r="N423" s="6"/>
      <c r="O423" s="6" t="s">
        <v>71</v>
      </c>
      <c r="P423" s="1" t="str">
        <f aca="false">IF(H423="Yes",IF(J423="MLS","Pro - MLS",IF(J423="MLS NEXT Pro","Pro - MLS NEXT Pro",IF(J423="USL Championship","Pro - USL Championship",IF(J423="USL League One","Pro - USL League One","Pro - Other")))),IF(H423="No",IF(K423="Amateur / Pre-Professional","Amateur / Pre-Professional","Returned to College"),"Unknown"))</f>
        <v>Unknown</v>
      </c>
      <c r="Q423" s="1" t="str">
        <f aca="false">IF(E423="Yes","Yes","No")</f>
        <v>No</v>
      </c>
      <c r="R423" s="1" t="str">
        <f aca="false">IF(H423="Yes","Yes","No")</f>
        <v>No</v>
      </c>
      <c r="S423" s="2" t="s">
        <v>1372</v>
      </c>
      <c r="T423" s="2" t="s">
        <v>35</v>
      </c>
      <c r="U423" s="2" t="s">
        <v>36</v>
      </c>
    </row>
    <row r="424" customFormat="false" ht="15" hidden="false" customHeight="true" outlineLevel="0" collapsed="false">
      <c r="A424" s="6" t="s">
        <v>1373</v>
      </c>
      <c r="B424" s="6" t="s">
        <v>48</v>
      </c>
      <c r="C424" s="6" t="s">
        <v>241</v>
      </c>
      <c r="D424" s="6" t="s">
        <v>601</v>
      </c>
      <c r="E424" s="6" t="s">
        <v>25</v>
      </c>
      <c r="F424" s="6"/>
      <c r="G424" s="6"/>
      <c r="H424" s="6"/>
      <c r="I424" s="6"/>
      <c r="J424" s="6"/>
      <c r="K424" s="6" t="s">
        <v>88</v>
      </c>
      <c r="L424" s="6" t="s">
        <v>30</v>
      </c>
      <c r="M424" s="6"/>
      <c r="N424" s="6"/>
      <c r="O424" s="6" t="s">
        <v>71</v>
      </c>
      <c r="P424" s="1" t="str">
        <f aca="false">IF(H424="Yes",IF(J424="MLS","Pro - MLS",IF(J424="MLS NEXT Pro","Pro - MLS NEXT Pro",IF(J424="USL Championship","Pro - USL Championship",IF(J424="USL League One","Pro - USL League One","Pro - Other")))),IF(H424="No",IF(K424="Amateur / Pre-Professional","Amateur / Pre-Professional","Returned to College"),"Unknown"))</f>
        <v>Unknown</v>
      </c>
      <c r="Q424" s="1" t="str">
        <f aca="false">IF(E424="Yes","Yes","No")</f>
        <v>No</v>
      </c>
      <c r="R424" s="1" t="str">
        <f aca="false">IF(H424="Yes","Yes","No")</f>
        <v>No</v>
      </c>
      <c r="S424" s="2" t="s">
        <v>295</v>
      </c>
      <c r="T424" s="2" t="s">
        <v>35</v>
      </c>
      <c r="U424" s="2" t="s">
        <v>36</v>
      </c>
    </row>
    <row r="425" customFormat="false" ht="15" hidden="false" customHeight="true" outlineLevel="0" collapsed="false">
      <c r="A425" s="6" t="s">
        <v>1374</v>
      </c>
      <c r="B425" s="6" t="s">
        <v>22</v>
      </c>
      <c r="C425" s="6" t="s">
        <v>73</v>
      </c>
      <c r="D425" s="6" t="s">
        <v>230</v>
      </c>
      <c r="E425" s="6" t="s">
        <v>25</v>
      </c>
      <c r="F425" s="6"/>
      <c r="G425" s="6"/>
      <c r="H425" s="6" t="s">
        <v>25</v>
      </c>
      <c r="I425" s="6" t="s">
        <v>73</v>
      </c>
      <c r="J425" s="6" t="s">
        <v>51</v>
      </c>
      <c r="K425" s="6" t="s">
        <v>52</v>
      </c>
      <c r="L425" s="6" t="s">
        <v>92</v>
      </c>
      <c r="M425" s="6" t="s">
        <v>980</v>
      </c>
      <c r="N425" s="6" t="s">
        <v>1375</v>
      </c>
      <c r="O425" s="6" t="s">
        <v>33</v>
      </c>
      <c r="P425" s="1" t="str">
        <f aca="false">IF(H425="Yes",IF(J425="MLS","Pro - MLS",IF(J425="MLS NEXT Pro","Pro - MLS NEXT Pro",IF(J425="USL Championship","Pro - USL Championship",IF(J425="USL League One","Pro - USL League One","Pro - Other")))),IF(H425="No",IF(K425="Amateur / Pre-Professional","Amateur / Pre-Professional","Returned to College"),"Unknown"))</f>
        <v>Returned to College</v>
      </c>
      <c r="Q425" s="1" t="str">
        <f aca="false">IF(E425="Yes","Yes","No")</f>
        <v>No</v>
      </c>
      <c r="R425" s="1" t="str">
        <f aca="false">IF(H425="Yes","Yes","No")</f>
        <v>No</v>
      </c>
      <c r="S425" s="2" t="s">
        <v>79</v>
      </c>
      <c r="T425" s="2" t="s">
        <v>35</v>
      </c>
      <c r="U425" s="2" t="s">
        <v>36</v>
      </c>
    </row>
    <row r="426" customFormat="false" ht="27.75" hidden="false" customHeight="true" outlineLevel="0" collapsed="false">
      <c r="A426" s="6" t="s">
        <v>1376</v>
      </c>
      <c r="B426" s="6" t="s">
        <v>38</v>
      </c>
      <c r="C426" s="6" t="s">
        <v>535</v>
      </c>
      <c r="D426" s="6"/>
      <c r="E426" s="6" t="s">
        <v>25</v>
      </c>
      <c r="F426" s="6"/>
      <c r="G426" s="6"/>
      <c r="H426" s="6" t="s">
        <v>25</v>
      </c>
      <c r="I426" s="6" t="s">
        <v>535</v>
      </c>
      <c r="J426" s="6" t="s">
        <v>51</v>
      </c>
      <c r="K426" s="6" t="s">
        <v>52</v>
      </c>
      <c r="L426" s="6" t="s">
        <v>92</v>
      </c>
      <c r="M426" s="6" t="s">
        <v>909</v>
      </c>
      <c r="N426" s="6" t="s">
        <v>1377</v>
      </c>
      <c r="O426" s="6" t="s">
        <v>33</v>
      </c>
      <c r="P426" s="1" t="str">
        <f aca="false">IF(H426="Yes",IF(J426="MLS","Pro - MLS",IF(J426="MLS NEXT Pro","Pro - MLS NEXT Pro",IF(J426="USL Championship","Pro - USL Championship",IF(J426="USL League One","Pro - USL League One","Pro - Other")))),IF(H426="No",IF(K426="Amateur / Pre-Professional","Amateur / Pre-Professional","Returned to College"),"Unknown"))</f>
        <v>Returned to College</v>
      </c>
      <c r="Q426" s="1" t="str">
        <f aca="false">IF(E426="Yes","Yes","No")</f>
        <v>No</v>
      </c>
      <c r="R426" s="1" t="str">
        <f aca="false">IF(H426="Yes","Yes","No")</f>
        <v>No</v>
      </c>
      <c r="S426" s="2" t="s">
        <v>624</v>
      </c>
      <c r="T426" s="2" t="s">
        <v>35</v>
      </c>
      <c r="U426" s="2" t="s">
        <v>36</v>
      </c>
    </row>
    <row r="427" customFormat="false" ht="15" hidden="false" customHeight="true" outlineLevel="0" collapsed="false">
      <c r="A427" s="6" t="s">
        <v>1378</v>
      </c>
      <c r="B427" s="6" t="s">
        <v>48</v>
      </c>
      <c r="C427" s="6" t="s">
        <v>1379</v>
      </c>
      <c r="D427" s="6"/>
      <c r="E427" s="6" t="s">
        <v>25</v>
      </c>
      <c r="F427" s="6"/>
      <c r="G427" s="6"/>
      <c r="H427" s="6"/>
      <c r="I427" s="6"/>
      <c r="J427" s="6"/>
      <c r="K427" s="6" t="s">
        <v>88</v>
      </c>
      <c r="L427" s="6" t="s">
        <v>30</v>
      </c>
      <c r="M427" s="6"/>
      <c r="N427" s="6"/>
      <c r="O427" s="6" t="s">
        <v>71</v>
      </c>
      <c r="P427" s="1" t="str">
        <f aca="false">IF(H427="Yes",IF(J427="MLS","Pro - MLS",IF(J427="MLS NEXT Pro","Pro - MLS NEXT Pro",IF(J427="USL Championship","Pro - USL Championship",IF(J427="USL League One","Pro - USL League One","Pro - Other")))),IF(H427="No",IF(K427="Amateur / Pre-Professional","Amateur / Pre-Professional","Returned to College"),"Unknown"))</f>
        <v>Unknown</v>
      </c>
      <c r="Q427" s="1" t="str">
        <f aca="false">IF(E427="Yes","Yes","No")</f>
        <v>No</v>
      </c>
      <c r="R427" s="1" t="str">
        <f aca="false">IF(H427="Yes","Yes","No")</f>
        <v>No</v>
      </c>
      <c r="S427" s="2" t="s">
        <v>1380</v>
      </c>
      <c r="T427" s="2" t="s">
        <v>35</v>
      </c>
      <c r="U427" s="2" t="s">
        <v>36</v>
      </c>
    </row>
    <row r="428" customFormat="false" ht="15" hidden="false" customHeight="true" outlineLevel="0" collapsed="false">
      <c r="A428" s="6" t="s">
        <v>1381</v>
      </c>
      <c r="B428" s="6" t="s">
        <v>63</v>
      </c>
      <c r="C428" s="6" t="s">
        <v>1382</v>
      </c>
      <c r="D428" s="6"/>
      <c r="E428" s="6" t="s">
        <v>25</v>
      </c>
      <c r="F428" s="6"/>
      <c r="G428" s="6"/>
      <c r="H428" s="6" t="s">
        <v>25</v>
      </c>
      <c r="I428" s="6" t="s">
        <v>1382</v>
      </c>
      <c r="J428" s="6" t="s">
        <v>51</v>
      </c>
      <c r="K428" s="6" t="s">
        <v>52</v>
      </c>
      <c r="L428" s="6" t="s">
        <v>53</v>
      </c>
      <c r="M428" s="6" t="s">
        <v>1383</v>
      </c>
      <c r="N428" s="6" t="s">
        <v>1384</v>
      </c>
      <c r="O428" s="6" t="s">
        <v>33</v>
      </c>
      <c r="P428" s="1" t="str">
        <f aca="false">IF(H428="Yes",IF(J428="MLS","Pro - MLS",IF(J428="MLS NEXT Pro","Pro - MLS NEXT Pro",IF(J428="USL Championship","Pro - USL Championship",IF(J428="USL League One","Pro - USL League One","Pro - Other")))),IF(H428="No",IF(K428="Amateur / Pre-Professional","Amateur / Pre-Professional","Returned to College"),"Unknown"))</f>
        <v>Returned to College</v>
      </c>
      <c r="Q428" s="1" t="str">
        <f aca="false">IF(E428="Yes","Yes","No")</f>
        <v>No</v>
      </c>
      <c r="R428" s="1" t="str">
        <f aca="false">IF(H428="Yes","Yes","No")</f>
        <v>No</v>
      </c>
      <c r="S428" s="2" t="s">
        <v>1385</v>
      </c>
      <c r="T428" s="2" t="s">
        <v>35</v>
      </c>
      <c r="U428" s="2" t="s">
        <v>36</v>
      </c>
    </row>
    <row r="429" customFormat="false" ht="27.75" hidden="false" customHeight="true" outlineLevel="0" collapsed="false">
      <c r="A429" s="6" t="s">
        <v>1386</v>
      </c>
      <c r="B429" s="6" t="s">
        <v>48</v>
      </c>
      <c r="C429" s="6" t="s">
        <v>331</v>
      </c>
      <c r="D429" s="6"/>
      <c r="E429" s="6" t="s">
        <v>26</v>
      </c>
      <c r="F429" s="6" t="n">
        <v>33</v>
      </c>
      <c r="G429" s="6" t="s">
        <v>137</v>
      </c>
      <c r="H429" s="6" t="s">
        <v>25</v>
      </c>
      <c r="I429" s="6" t="s">
        <v>331</v>
      </c>
      <c r="J429" s="6" t="s">
        <v>51</v>
      </c>
      <c r="K429" s="6" t="s">
        <v>52</v>
      </c>
      <c r="L429" s="6" t="s">
        <v>83</v>
      </c>
      <c r="M429" s="6" t="s">
        <v>1387</v>
      </c>
      <c r="N429" s="6" t="s">
        <v>1388</v>
      </c>
      <c r="O429" s="6" t="s">
        <v>33</v>
      </c>
      <c r="P429" s="1" t="str">
        <f aca="false">IF(H429="Yes",IF(J429="MLS","Pro - MLS",IF(J429="MLS NEXT Pro","Pro - MLS NEXT Pro",IF(J429="USL Championship","Pro - USL Championship",IF(J429="USL League One","Pro - USL League One","Pro - Other")))),IF(H429="No",IF(K429="Amateur / Pre-Professional","Amateur / Pre-Professional","Returned to College"),"Unknown"))</f>
        <v>Returned to College</v>
      </c>
      <c r="Q429" s="1" t="str">
        <f aca="false">IF(E429="Yes","Yes","No")</f>
        <v>Yes</v>
      </c>
      <c r="R429" s="1" t="str">
        <f aca="false">IF(H429="Yes","Yes","No")</f>
        <v>No</v>
      </c>
      <c r="U429" s="2" t="s">
        <v>56</v>
      </c>
    </row>
    <row r="430" customFormat="false" ht="15" hidden="false" customHeight="true" outlineLevel="0" collapsed="false">
      <c r="A430" s="6" t="s">
        <v>1389</v>
      </c>
      <c r="B430" s="6" t="s">
        <v>48</v>
      </c>
      <c r="C430" s="6" t="s">
        <v>73</v>
      </c>
      <c r="D430" s="6"/>
      <c r="E430" s="6" t="s">
        <v>25</v>
      </c>
      <c r="F430" s="6"/>
      <c r="G430" s="6"/>
      <c r="H430" s="6"/>
      <c r="I430" s="6"/>
      <c r="J430" s="6"/>
      <c r="K430" s="6" t="s">
        <v>88</v>
      </c>
      <c r="L430" s="6" t="s">
        <v>267</v>
      </c>
      <c r="M430" s="6"/>
      <c r="N430" s="6"/>
      <c r="O430" s="6" t="s">
        <v>71</v>
      </c>
      <c r="P430" s="1" t="str">
        <f aca="false">IF(H430="Yes",IF(J430="MLS","Pro - MLS",IF(J430="MLS NEXT Pro","Pro - MLS NEXT Pro",IF(J430="USL Championship","Pro - USL Championship",IF(J430="USL League One","Pro - USL League One","Pro - Other")))),IF(H430="No",IF(K430="Amateur / Pre-Professional","Amateur / Pre-Professional","Returned to College"),"Unknown"))</f>
        <v>Unknown</v>
      </c>
      <c r="Q430" s="1" t="str">
        <f aca="false">IF(E430="Yes","Yes","No")</f>
        <v>No</v>
      </c>
      <c r="R430" s="1" t="str">
        <f aca="false">IF(H430="Yes","Yes","No")</f>
        <v>No</v>
      </c>
      <c r="S430" s="2" t="s">
        <v>79</v>
      </c>
      <c r="T430" s="2" t="s">
        <v>35</v>
      </c>
      <c r="U430" s="2" t="s">
        <v>36</v>
      </c>
    </row>
    <row r="431" customFormat="false" ht="27.75" hidden="false" customHeight="true" outlineLevel="0" collapsed="false">
      <c r="A431" s="6" t="s">
        <v>1390</v>
      </c>
      <c r="B431" s="6" t="s">
        <v>48</v>
      </c>
      <c r="C431" s="6" t="s">
        <v>1067</v>
      </c>
      <c r="D431" s="6"/>
      <c r="E431" s="6" t="s">
        <v>26</v>
      </c>
      <c r="F431" s="6" t="n">
        <v>14</v>
      </c>
      <c r="G431" s="6" t="s">
        <v>306</v>
      </c>
      <c r="H431" s="6" t="s">
        <v>26</v>
      </c>
      <c r="I431" s="6" t="s">
        <v>695</v>
      </c>
      <c r="J431" s="6" t="s">
        <v>76</v>
      </c>
      <c r="K431" s="6" t="s">
        <v>29</v>
      </c>
      <c r="L431" s="6" t="s">
        <v>30</v>
      </c>
      <c r="M431" s="6" t="s">
        <v>133</v>
      </c>
      <c r="N431" s="6" t="s">
        <v>70</v>
      </c>
      <c r="O431" s="6" t="s">
        <v>71</v>
      </c>
      <c r="P431" s="1" t="str">
        <f aca="false">IF(H431="Yes",IF(J431="MLS","Pro - MLS",IF(J431="MLS NEXT Pro","Pro - MLS NEXT Pro",IF(J431="USL Championship","Pro - USL Championship",IF(J431="USL League One","Pro - USL League One","Pro - Other")))),IF(H431="No",IF(K431="Amateur / Pre-Professional","Amateur / Pre-Professional","Returned to College"),"Unknown"))</f>
        <v>Pro - MLS NEXT Pro</v>
      </c>
      <c r="Q431" s="1" t="str">
        <f aca="false">IF(E431="Yes","Yes","No")</f>
        <v>Yes</v>
      </c>
      <c r="R431" s="1" t="str">
        <f aca="false">IF(H431="Yes","Yes","No")</f>
        <v>Yes</v>
      </c>
      <c r="U431" s="2" t="s">
        <v>56</v>
      </c>
    </row>
    <row r="432" customFormat="false" ht="15" hidden="false" customHeight="true" outlineLevel="0" collapsed="false">
      <c r="A432" s="6" t="s">
        <v>1391</v>
      </c>
      <c r="B432" s="6" t="s">
        <v>63</v>
      </c>
      <c r="C432" s="6" t="s">
        <v>115</v>
      </c>
      <c r="D432" s="6" t="s">
        <v>121</v>
      </c>
      <c r="E432" s="6" t="s">
        <v>25</v>
      </c>
      <c r="F432" s="6"/>
      <c r="G432" s="6"/>
      <c r="H432" s="6" t="s">
        <v>25</v>
      </c>
      <c r="I432" s="6" t="s">
        <v>115</v>
      </c>
      <c r="J432" s="6" t="s">
        <v>51</v>
      </c>
      <c r="K432" s="6" t="s">
        <v>52</v>
      </c>
      <c r="L432" s="6" t="s">
        <v>30</v>
      </c>
      <c r="M432" s="6" t="s">
        <v>116</v>
      </c>
      <c r="N432" s="6" t="s">
        <v>1392</v>
      </c>
      <c r="O432" s="6" t="s">
        <v>33</v>
      </c>
      <c r="P432" s="1" t="str">
        <f aca="false">IF(H432="Yes",IF(J432="MLS","Pro - MLS",IF(J432="MLS NEXT Pro","Pro - MLS NEXT Pro",IF(J432="USL Championship","Pro - USL Championship",IF(J432="USL League One","Pro - USL League One","Pro - Other")))),IF(H432="No",IF(K432="Amateur / Pre-Professional","Amateur / Pre-Professional","Returned to College"),"Unknown"))</f>
        <v>Returned to College</v>
      </c>
      <c r="Q432" s="1" t="str">
        <f aca="false">IF(E432="Yes","Yes","No")</f>
        <v>No</v>
      </c>
      <c r="R432" s="1" t="str">
        <f aca="false">IF(H432="Yes","Yes","No")</f>
        <v>No</v>
      </c>
      <c r="S432" s="2" t="s">
        <v>1393</v>
      </c>
      <c r="T432" s="2" t="s">
        <v>35</v>
      </c>
      <c r="U432" s="2" t="s">
        <v>36</v>
      </c>
    </row>
    <row r="433" customFormat="false" ht="15" hidden="false" customHeight="true" outlineLevel="0" collapsed="false">
      <c r="A433" s="6" t="s">
        <v>1394</v>
      </c>
      <c r="B433" s="6" t="s">
        <v>22</v>
      </c>
      <c r="C433" s="6" t="s">
        <v>64</v>
      </c>
      <c r="D433" s="6"/>
      <c r="E433" s="6" t="s">
        <v>25</v>
      </c>
      <c r="F433" s="6"/>
      <c r="G433" s="6"/>
      <c r="H433" s="6"/>
      <c r="I433" s="6"/>
      <c r="J433" s="6"/>
      <c r="K433" s="6" t="s">
        <v>88</v>
      </c>
      <c r="L433" s="6" t="s">
        <v>30</v>
      </c>
      <c r="M433" s="6"/>
      <c r="N433" s="6"/>
      <c r="O433" s="6" t="s">
        <v>71</v>
      </c>
      <c r="P433" s="1" t="str">
        <f aca="false">IF(H433="Yes",IF(J433="MLS","Pro - MLS",IF(J433="MLS NEXT Pro","Pro - MLS NEXT Pro",IF(J433="USL Championship","Pro - USL Championship",IF(J433="USL League One","Pro - USL League One","Pro - Other")))),IF(H433="No",IF(K433="Amateur / Pre-Professional","Amateur / Pre-Professional","Returned to College"),"Unknown"))</f>
        <v>Unknown</v>
      </c>
      <c r="Q433" s="1" t="str">
        <f aca="false">IF(E433="Yes","Yes","No")</f>
        <v>No</v>
      </c>
      <c r="R433" s="1" t="str">
        <f aca="false">IF(H433="Yes","Yes","No")</f>
        <v>No</v>
      </c>
      <c r="S433" s="2" t="s">
        <v>1395</v>
      </c>
      <c r="T433" s="2" t="s">
        <v>35</v>
      </c>
      <c r="U433" s="2" t="s">
        <v>36</v>
      </c>
    </row>
    <row r="434" customFormat="false" ht="15" hidden="false" customHeight="true" outlineLevel="0" collapsed="false">
      <c r="A434" s="6" t="s">
        <v>1396</v>
      </c>
      <c r="B434" s="6" t="s">
        <v>63</v>
      </c>
      <c r="C434" s="6" t="s">
        <v>732</v>
      </c>
      <c r="D434" s="6" t="s">
        <v>997</v>
      </c>
      <c r="E434" s="6" t="s">
        <v>25</v>
      </c>
      <c r="F434" s="6"/>
      <c r="G434" s="6"/>
      <c r="H434" s="6" t="s">
        <v>25</v>
      </c>
      <c r="I434" s="6" t="s">
        <v>732</v>
      </c>
      <c r="J434" s="6" t="s">
        <v>51</v>
      </c>
      <c r="K434" s="6" t="s">
        <v>52</v>
      </c>
      <c r="L434" s="6" t="s">
        <v>53</v>
      </c>
      <c r="M434" s="6" t="s">
        <v>734</v>
      </c>
      <c r="N434" s="6" t="s">
        <v>1397</v>
      </c>
      <c r="O434" s="6" t="s">
        <v>33</v>
      </c>
      <c r="P434" s="1" t="str">
        <f aca="false">IF(H434="Yes",IF(J434="MLS","Pro - MLS",IF(J434="MLS NEXT Pro","Pro - MLS NEXT Pro",IF(J434="USL Championship","Pro - USL Championship",IF(J434="USL League One","Pro - USL League One","Pro - Other")))),IF(H434="No",IF(K434="Amateur / Pre-Professional","Amateur / Pre-Professional","Returned to College"),"Unknown"))</f>
        <v>Returned to College</v>
      </c>
      <c r="Q434" s="1" t="str">
        <f aca="false">IF(E434="Yes","Yes","No")</f>
        <v>No</v>
      </c>
      <c r="R434" s="1" t="str">
        <f aca="false">IF(H434="Yes","Yes","No")</f>
        <v>No</v>
      </c>
      <c r="S434" s="2" t="s">
        <v>736</v>
      </c>
      <c r="T434" s="2" t="s">
        <v>35</v>
      </c>
      <c r="U434" s="2" t="s">
        <v>36</v>
      </c>
    </row>
    <row r="435" customFormat="false" ht="15" hidden="false" customHeight="true" outlineLevel="0" collapsed="false">
      <c r="A435" s="6" t="s">
        <v>1398</v>
      </c>
      <c r="B435" s="6" t="s">
        <v>22</v>
      </c>
      <c r="C435" s="6" t="s">
        <v>746</v>
      </c>
      <c r="D435" s="6"/>
      <c r="E435" s="6" t="s">
        <v>25</v>
      </c>
      <c r="F435" s="6"/>
      <c r="G435" s="6"/>
      <c r="H435" s="6"/>
      <c r="I435" s="6"/>
      <c r="J435" s="6"/>
      <c r="K435" s="6" t="s">
        <v>88</v>
      </c>
      <c r="L435" s="6" t="s">
        <v>30</v>
      </c>
      <c r="M435" s="6"/>
      <c r="N435" s="6"/>
      <c r="O435" s="6" t="s">
        <v>71</v>
      </c>
      <c r="P435" s="1" t="str">
        <f aca="false">IF(H435="Yes",IF(J435="MLS","Pro - MLS",IF(J435="MLS NEXT Pro","Pro - MLS NEXT Pro",IF(J435="USL Championship","Pro - USL Championship",IF(J435="USL League One","Pro - USL League One","Pro - Other")))),IF(H435="No",IF(K435="Amateur / Pre-Professional","Amateur / Pre-Professional","Returned to College"),"Unknown"))</f>
        <v>Unknown</v>
      </c>
      <c r="Q435" s="1" t="str">
        <f aca="false">IF(E435="Yes","Yes","No")</f>
        <v>No</v>
      </c>
      <c r="R435" s="1" t="str">
        <f aca="false">IF(H435="Yes","Yes","No")</f>
        <v>No</v>
      </c>
      <c r="S435" s="2" t="s">
        <v>1001</v>
      </c>
      <c r="T435" s="2" t="s">
        <v>35</v>
      </c>
      <c r="U435" s="2" t="s">
        <v>36</v>
      </c>
    </row>
    <row r="436" customFormat="false" ht="15" hidden="false" customHeight="true" outlineLevel="0" collapsed="false">
      <c r="A436" s="6" t="s">
        <v>1399</v>
      </c>
      <c r="B436" s="6" t="s">
        <v>63</v>
      </c>
      <c r="C436" s="6" t="s">
        <v>653</v>
      </c>
      <c r="D436" s="6"/>
      <c r="E436" s="6" t="s">
        <v>25</v>
      </c>
      <c r="F436" s="6"/>
      <c r="G436" s="6"/>
      <c r="H436" s="6" t="s">
        <v>25</v>
      </c>
      <c r="I436" s="6" t="s">
        <v>315</v>
      </c>
      <c r="J436" s="6" t="s">
        <v>51</v>
      </c>
      <c r="K436" s="6" t="s">
        <v>52</v>
      </c>
      <c r="L436" s="6" t="s">
        <v>53</v>
      </c>
      <c r="M436" s="6" t="s">
        <v>1400</v>
      </c>
      <c r="N436" s="6" t="s">
        <v>1401</v>
      </c>
      <c r="O436" s="6" t="s">
        <v>33</v>
      </c>
      <c r="P436" s="1" t="str">
        <f aca="false">IF(H436="Yes",IF(J436="MLS","Pro - MLS",IF(J436="MLS NEXT Pro","Pro - MLS NEXT Pro",IF(J436="USL Championship","Pro - USL Championship",IF(J436="USL League One","Pro - USL League One","Pro - Other")))),IF(H436="No",IF(K436="Amateur / Pre-Professional","Amateur / Pre-Professional","Returned to College"),"Unknown"))</f>
        <v>Returned to College</v>
      </c>
      <c r="Q436" s="1" t="str">
        <f aca="false">IF(E436="Yes","Yes","No")</f>
        <v>No</v>
      </c>
      <c r="R436" s="1" t="str">
        <f aca="false">IF(H436="Yes","Yes","No")</f>
        <v>No</v>
      </c>
      <c r="S436" s="2" t="s">
        <v>676</v>
      </c>
      <c r="T436" s="2" t="s">
        <v>35</v>
      </c>
      <c r="U436" s="2" t="s">
        <v>36</v>
      </c>
    </row>
    <row r="437" customFormat="false" ht="27.75" hidden="false" customHeight="true" outlineLevel="0" collapsed="false">
      <c r="A437" s="6" t="s">
        <v>1402</v>
      </c>
      <c r="B437" s="6" t="s">
        <v>22</v>
      </c>
      <c r="C437" s="6" t="s">
        <v>687</v>
      </c>
      <c r="D437" s="6"/>
      <c r="E437" s="6" t="s">
        <v>26</v>
      </c>
      <c r="F437" s="6" t="n">
        <v>59</v>
      </c>
      <c r="G437" s="6" t="s">
        <v>82</v>
      </c>
      <c r="H437" s="6" t="s">
        <v>26</v>
      </c>
      <c r="I437" s="6" t="s">
        <v>349</v>
      </c>
      <c r="J437" s="6" t="s">
        <v>76</v>
      </c>
      <c r="K437" s="6" t="s">
        <v>29</v>
      </c>
      <c r="L437" s="6" t="s">
        <v>30</v>
      </c>
      <c r="M437" s="6" t="s">
        <v>133</v>
      </c>
      <c r="N437" s="6" t="s">
        <v>70</v>
      </c>
      <c r="O437" s="6" t="s">
        <v>71</v>
      </c>
      <c r="P437" s="1" t="str">
        <f aca="false">IF(H437="Yes",IF(J437="MLS","Pro - MLS",IF(J437="MLS NEXT Pro","Pro - MLS NEXT Pro",IF(J437="USL Championship","Pro - USL Championship",IF(J437="USL League One","Pro - USL League One","Pro - Other")))),IF(H437="No",IF(K437="Amateur / Pre-Professional","Amateur / Pre-Professional","Returned to College"),"Unknown"))</f>
        <v>Pro - MLS NEXT Pro</v>
      </c>
      <c r="Q437" s="1" t="str">
        <f aca="false">IF(E437="Yes","Yes","No")</f>
        <v>Yes</v>
      </c>
      <c r="R437" s="1" t="str">
        <f aca="false">IF(H437="Yes","Yes","No")</f>
        <v>Yes</v>
      </c>
      <c r="U437" s="2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5.83"/>
    <col collapsed="false" customWidth="true" hidden="false" outlineLevel="0" max="2" min="2" style="1" width="158.16"/>
  </cols>
  <sheetData>
    <row r="1" customFormat="false" ht="15" hidden="false" customHeight="true" outlineLevel="0" collapsed="false">
      <c r="A1" s="7" t="s">
        <v>1403</v>
      </c>
      <c r="B1" s="7" t="s">
        <v>1404</v>
      </c>
    </row>
    <row r="2" customFormat="false" ht="15" hidden="false" customHeight="true" outlineLevel="0" collapsed="false">
      <c r="A2" s="1" t="s">
        <v>1405</v>
      </c>
      <c r="B2" s="1" t="s">
        <v>1406</v>
      </c>
    </row>
    <row r="3" customFormat="false" ht="15" hidden="false" customHeight="true" outlineLevel="0" collapsed="false">
      <c r="A3" s="1" t="s">
        <v>1407</v>
      </c>
      <c r="B3" s="1" t="s">
        <v>1408</v>
      </c>
    </row>
    <row r="4" customFormat="false" ht="15" hidden="false" customHeight="true" outlineLevel="0" collapsed="false">
      <c r="A4" s="1" t="s">
        <v>1409</v>
      </c>
      <c r="B4" s="1" t="n">
        <v>436</v>
      </c>
    </row>
    <row r="5" customFormat="false" ht="15" hidden="false" customHeight="true" outlineLevel="0" collapsed="false">
      <c r="A5" s="1" t="s">
        <v>1410</v>
      </c>
      <c r="B5" s="1" t="n">
        <v>150</v>
      </c>
    </row>
    <row r="6" customFormat="false" ht="15" hidden="false" customHeight="true" outlineLevel="0" collapsed="false">
      <c r="A6" s="1" t="s">
        <v>1411</v>
      </c>
      <c r="B6" s="1" t="s">
        <v>1412</v>
      </c>
    </row>
    <row r="7" customFormat="false" ht="15" hidden="false" customHeight="true" outlineLevel="0" collapsed="false">
      <c r="A7" s="1" t="s">
        <v>1413</v>
      </c>
      <c r="B7" s="1" t="s">
        <v>1414</v>
      </c>
    </row>
    <row r="8" customFormat="false" ht="15" hidden="false" customHeight="true" outlineLevel="0" collapsed="false">
      <c r="A8" s="1" t="s">
        <v>1415</v>
      </c>
      <c r="B8" s="1" t="s">
        <v>1416</v>
      </c>
    </row>
    <row r="10" customFormat="false" ht="15" hidden="false" customHeight="true" outlineLevel="0" collapsed="false">
      <c r="A10" s="1" t="s">
        <v>1417</v>
      </c>
      <c r="B10" s="1" t="s">
        <v>71</v>
      </c>
    </row>
    <row r="11" customFormat="false" ht="15" hidden="false" customHeight="true" outlineLevel="0" collapsed="false">
      <c r="A11" s="1" t="s">
        <v>1418</v>
      </c>
      <c r="B11" s="1" t="s">
        <v>133</v>
      </c>
    </row>
    <row r="12" customFormat="false" ht="15" hidden="false" customHeight="true" outlineLevel="0" collapsed="false">
      <c r="A12" s="1" t="s">
        <v>1419</v>
      </c>
      <c r="B12" s="1" t="s">
        <v>69</v>
      </c>
    </row>
    <row r="13" customFormat="false" ht="15" hidden="false" customHeight="true" outlineLevel="0" collapsed="false">
      <c r="A13" s="1" t="s">
        <v>1420</v>
      </c>
      <c r="B13" s="1" t="s">
        <v>1421</v>
      </c>
    </row>
    <row r="14" customFormat="false" ht="15" hidden="false" customHeight="true" outlineLevel="0" collapsed="false">
      <c r="A14" s="1" t="s">
        <v>1422</v>
      </c>
      <c r="B14" s="1" t="s">
        <v>1423</v>
      </c>
    </row>
    <row r="15" customFormat="false" ht="15" hidden="false" customHeight="true" outlineLevel="0" collapsed="false">
      <c r="A15" s="1" t="s">
        <v>1424</v>
      </c>
      <c r="B15" s="1" t="s">
        <v>1425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78"/>
  </cols>
  <sheetData>
    <row r="1" customFormat="false" ht="15" hidden="false" customHeight="true" outlineLevel="0" collapsed="false">
      <c r="A1" s="8" t="s">
        <v>1426</v>
      </c>
      <c r="B1" s="8" t="s">
        <v>1427</v>
      </c>
    </row>
    <row r="2" customFormat="false" ht="15" hidden="false" customHeight="true" outlineLevel="0" collapsed="false">
      <c r="A2" s="1" t="s">
        <v>1428</v>
      </c>
      <c r="B2" s="1" t="n">
        <v>436</v>
      </c>
    </row>
    <row r="3" customFormat="false" ht="15" hidden="false" customHeight="true" outlineLevel="0" collapsed="false">
      <c r="A3" s="1" t="s">
        <v>1429</v>
      </c>
      <c r="B3" s="1" t="n">
        <v>102</v>
      </c>
    </row>
    <row r="4" customFormat="false" ht="15" hidden="false" customHeight="true" outlineLevel="0" collapsed="false">
      <c r="A4" s="1" t="s">
        <v>1430</v>
      </c>
      <c r="B4" s="1" t="n">
        <v>179</v>
      </c>
    </row>
    <row r="5" customFormat="false" ht="15" hidden="false" customHeight="true" outlineLevel="0" collapsed="false">
      <c r="A5" s="1" t="s">
        <v>1431</v>
      </c>
      <c r="B5" s="1" t="n">
        <v>4</v>
      </c>
    </row>
    <row r="6" customFormat="false" ht="15" hidden="false" customHeight="true" outlineLevel="0" collapsed="false">
      <c r="A6" s="1" t="s">
        <v>1432</v>
      </c>
      <c r="B6" s="1" t="n">
        <v>151</v>
      </c>
    </row>
    <row r="7" customFormat="false" ht="15" hidden="false" customHeight="true" outlineLevel="0" collapsed="false">
      <c r="A7" s="1" t="s">
        <v>1433</v>
      </c>
      <c r="B7" s="9" t="n">
        <v>285</v>
      </c>
    </row>
    <row r="8" customFormat="false" ht="15" hidden="false" customHeight="true" outlineLevel="0" collapsed="false">
      <c r="A8" s="1" t="s">
        <v>1434</v>
      </c>
      <c r="B8" s="10" t="n">
        <v>0.653669724770642</v>
      </c>
    </row>
    <row r="9" customFormat="false" ht="15" hidden="false" customHeight="true" outlineLevel="0" collapsed="false">
      <c r="A9" s="1" t="s">
        <v>1435</v>
      </c>
      <c r="B9" s="1" t="n">
        <v>284</v>
      </c>
    </row>
    <row r="10" customFormat="false" ht="15" hidden="false" customHeight="false" outlineLevel="0" collapsed="false">
      <c r="A10" s="1" t="s">
        <v>1436</v>
      </c>
      <c r="B10" s="1" t="s">
        <v>26</v>
      </c>
    </row>
    <row r="11" customFormat="false" ht="15" hidden="false" customHeight="false" outlineLevel="0" collapsed="false">
      <c r="A11" s="1" t="s">
        <v>1437</v>
      </c>
      <c r="B11" s="1" t="n">
        <v>306</v>
      </c>
    </row>
    <row r="12" customFormat="false" ht="15" hidden="false" customHeight="false" outlineLevel="0" collapsed="false">
      <c r="A12" s="1" t="s">
        <v>1438</v>
      </c>
      <c r="B12" s="1" t="n">
        <v>21</v>
      </c>
    </row>
    <row r="13" customFormat="false" ht="15" hidden="false" customHeight="false" outlineLevel="0" collapsed="false">
      <c r="A13" s="1" t="s">
        <v>1439</v>
      </c>
      <c r="B13" s="1" t="n">
        <v>2</v>
      </c>
    </row>
    <row r="14" customFormat="false" ht="15" hidden="false" customHeight="false" outlineLevel="0" collapsed="false">
      <c r="A14" s="1" t="s">
        <v>1440</v>
      </c>
      <c r="B14" s="1" t="n">
        <v>8</v>
      </c>
    </row>
    <row r="15" customFormat="false" ht="15" hidden="false" customHeight="false" outlineLevel="0" collapsed="false">
      <c r="A15" s="1" t="s">
        <v>1441</v>
      </c>
      <c r="B15" s="1" t="s">
        <v>1442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3" zeroHeight="false" outlineLevelRow="0" outlineLevelCol="0"/>
  <cols>
    <col collapsed="false" customWidth="true" hidden="false" outlineLevel="0" max="1" min="1" style="2" width="28"/>
    <col collapsed="false" customWidth="true" hidden="false" outlineLevel="0" max="2" min="2" style="2" width="189.67"/>
  </cols>
  <sheetData>
    <row r="1" customFormat="false" ht="13" hidden="false" customHeight="false" outlineLevel="0" collapsed="false">
      <c r="A1" s="11" t="s">
        <v>1403</v>
      </c>
      <c r="B1" s="11" t="s">
        <v>1404</v>
      </c>
    </row>
    <row r="2" customFormat="false" ht="13" hidden="false" customHeight="false" outlineLevel="0" collapsed="false">
      <c r="A2" s="2" t="s">
        <v>1443</v>
      </c>
      <c r="B2" s="2" t="s">
        <v>1444</v>
      </c>
    </row>
    <row r="3" customFormat="false" ht="13" hidden="false" customHeight="false" outlineLevel="0" collapsed="false">
      <c r="A3" s="2" t="s">
        <v>1445</v>
      </c>
      <c r="B3" s="2" t="s">
        <v>1446</v>
      </c>
    </row>
    <row r="4" customFormat="false" ht="13" hidden="false" customHeight="false" outlineLevel="0" collapsed="false">
      <c r="A4" s="2" t="s">
        <v>1447</v>
      </c>
      <c r="B4" s="2" t="s">
        <v>1448</v>
      </c>
    </row>
    <row r="5" customFormat="false" ht="13" hidden="false" customHeight="false" outlineLevel="0" collapsed="false">
      <c r="A5" s="2" t="s">
        <v>1449</v>
      </c>
      <c r="B5" s="2" t="n">
        <v>325</v>
      </c>
    </row>
    <row r="6" customFormat="false" ht="13" hidden="false" customHeight="false" outlineLevel="0" collapsed="false">
      <c r="A6" s="2" t="s">
        <v>1450</v>
      </c>
      <c r="B6" s="2" t="n">
        <v>9</v>
      </c>
    </row>
    <row r="7" customFormat="false" ht="13" hidden="false" customHeight="false" outlineLevel="0" collapsed="false">
      <c r="A7" s="2" t="s">
        <v>1451</v>
      </c>
      <c r="B7" s="2" t="s">
        <v>1452</v>
      </c>
    </row>
    <row r="8" customFormat="false" ht="13" hidden="false" customHeight="false" outlineLevel="0" collapsed="false">
      <c r="A8" s="2" t="s">
        <v>1453</v>
      </c>
      <c r="B8" s="2" t="n">
        <v>9</v>
      </c>
    </row>
    <row r="9" customFormat="false" ht="13" hidden="false" customHeight="false" outlineLevel="0" collapsed="false">
      <c r="A9" s="2" t="s">
        <v>1454</v>
      </c>
      <c r="B9" s="2" t="s">
        <v>1455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60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2" t="s">
        <v>0</v>
      </c>
      <c r="B1" s="12" t="s">
        <v>1456</v>
      </c>
      <c r="C1" s="12" t="s">
        <v>1457</v>
      </c>
      <c r="D1" s="12" t="s">
        <v>1458</v>
      </c>
      <c r="E1" s="12" t="s">
        <v>1459</v>
      </c>
    </row>
    <row r="2" customFormat="false" ht="15" hidden="false" customHeight="false" outlineLevel="0" collapsed="false">
      <c r="A2" s="0" t="s">
        <v>822</v>
      </c>
      <c r="B2" s="0" t="s">
        <v>52</v>
      </c>
      <c r="C2" s="0" t="s">
        <v>81</v>
      </c>
      <c r="D2" s="0" t="s">
        <v>225</v>
      </c>
      <c r="E2" s="0" t="s">
        <v>33</v>
      </c>
    </row>
    <row r="3" customFormat="false" ht="15" hidden="false" customHeight="false" outlineLevel="0" collapsed="false">
      <c r="A3" s="0" t="s">
        <v>223</v>
      </c>
      <c r="B3" s="0" t="s">
        <v>52</v>
      </c>
      <c r="C3" s="0" t="s">
        <v>81</v>
      </c>
      <c r="D3" s="0" t="s">
        <v>225</v>
      </c>
      <c r="E3" s="0" t="s">
        <v>33</v>
      </c>
    </row>
    <row r="4" customFormat="false" ht="15" hidden="false" customHeight="false" outlineLevel="0" collapsed="false">
      <c r="A4" s="0" t="s">
        <v>288</v>
      </c>
      <c r="B4" s="0" t="s">
        <v>52</v>
      </c>
      <c r="C4" s="0" t="s">
        <v>81</v>
      </c>
      <c r="D4" s="0" t="s">
        <v>225</v>
      </c>
      <c r="E4" s="0" t="s">
        <v>33</v>
      </c>
    </row>
    <row r="5" customFormat="false" ht="15" hidden="false" customHeight="false" outlineLevel="0" collapsed="false">
      <c r="A5" s="0" t="s">
        <v>862</v>
      </c>
      <c r="B5" s="0" t="s">
        <v>52</v>
      </c>
      <c r="C5" s="0" t="s">
        <v>357</v>
      </c>
      <c r="D5" s="0" t="s">
        <v>722</v>
      </c>
      <c r="E5" s="0" t="s">
        <v>33</v>
      </c>
    </row>
    <row r="6" customFormat="false" ht="15" hidden="false" customHeight="false" outlineLevel="0" collapsed="false">
      <c r="A6" s="0" t="s">
        <v>1255</v>
      </c>
      <c r="B6" s="0" t="s">
        <v>52</v>
      </c>
      <c r="C6" s="0" t="s">
        <v>357</v>
      </c>
      <c r="D6" s="0" t="s">
        <v>722</v>
      </c>
      <c r="E6" s="0" t="s">
        <v>33</v>
      </c>
    </row>
    <row r="7" customFormat="false" ht="15" hidden="false" customHeight="false" outlineLevel="0" collapsed="false">
      <c r="A7" s="0" t="s">
        <v>1020</v>
      </c>
      <c r="B7" s="0" t="s">
        <v>52</v>
      </c>
      <c r="C7" s="0" t="s">
        <v>357</v>
      </c>
      <c r="D7" s="0" t="s">
        <v>722</v>
      </c>
      <c r="E7" s="0" t="s">
        <v>33</v>
      </c>
    </row>
    <row r="8" customFormat="false" ht="15" hidden="false" customHeight="false" outlineLevel="0" collapsed="false">
      <c r="A8" s="0" t="s">
        <v>912</v>
      </c>
      <c r="B8" s="0" t="s">
        <v>52</v>
      </c>
      <c r="C8" s="0" t="s">
        <v>357</v>
      </c>
      <c r="D8" s="0" t="s">
        <v>722</v>
      </c>
      <c r="E8" s="0" t="s">
        <v>33</v>
      </c>
    </row>
    <row r="9" customFormat="false" ht="15" hidden="false" customHeight="false" outlineLevel="0" collapsed="false">
      <c r="A9" s="0" t="s">
        <v>1190</v>
      </c>
      <c r="B9" s="0" t="s">
        <v>52</v>
      </c>
      <c r="C9" s="0" t="s">
        <v>357</v>
      </c>
      <c r="D9" s="0" t="s">
        <v>722</v>
      </c>
      <c r="E9" s="0" t="s">
        <v>33</v>
      </c>
    </row>
    <row r="10" customFormat="false" ht="15" hidden="false" customHeight="false" outlineLevel="0" collapsed="false">
      <c r="A10" s="0" t="s">
        <v>508</v>
      </c>
      <c r="B10" s="0" t="s">
        <v>52</v>
      </c>
      <c r="C10" s="0" t="s">
        <v>159</v>
      </c>
      <c r="D10" s="0" t="s">
        <v>509</v>
      </c>
      <c r="E10" s="0" t="s">
        <v>33</v>
      </c>
    </row>
    <row r="11" customFormat="false" ht="15" hidden="false" customHeight="false" outlineLevel="0" collapsed="false">
      <c r="A11" s="0" t="s">
        <v>1223</v>
      </c>
      <c r="B11" s="0" t="s">
        <v>52</v>
      </c>
      <c r="C11" s="0" t="s">
        <v>159</v>
      </c>
      <c r="D11" s="0" t="s">
        <v>509</v>
      </c>
      <c r="E11" s="0" t="s">
        <v>33</v>
      </c>
    </row>
    <row r="12" customFormat="false" ht="15" hidden="false" customHeight="false" outlineLevel="0" collapsed="false">
      <c r="A12" s="0" t="s">
        <v>814</v>
      </c>
      <c r="B12" s="0" t="s">
        <v>52</v>
      </c>
      <c r="C12" s="0" t="s">
        <v>73</v>
      </c>
      <c r="D12" s="0" t="s">
        <v>815</v>
      </c>
      <c r="E12" s="0" t="s">
        <v>33</v>
      </c>
    </row>
    <row r="13" customFormat="false" ht="15" hidden="false" customHeight="false" outlineLevel="0" collapsed="false">
      <c r="A13" s="0" t="s">
        <v>773</v>
      </c>
      <c r="B13" s="0" t="s">
        <v>52</v>
      </c>
      <c r="C13" s="0" t="s">
        <v>136</v>
      </c>
      <c r="D13" s="0" t="s">
        <v>195</v>
      </c>
      <c r="E13" s="0" t="s">
        <v>33</v>
      </c>
    </row>
    <row r="14" customFormat="false" ht="15" hidden="false" customHeight="false" outlineLevel="0" collapsed="false">
      <c r="A14" s="0" t="s">
        <v>725</v>
      </c>
      <c r="B14" s="0" t="s">
        <v>52</v>
      </c>
      <c r="C14" s="0" t="s">
        <v>136</v>
      </c>
      <c r="D14" s="0" t="s">
        <v>195</v>
      </c>
      <c r="E14" s="0" t="s">
        <v>33</v>
      </c>
    </row>
    <row r="15" customFormat="false" ht="15" hidden="false" customHeight="false" outlineLevel="0" collapsed="false">
      <c r="A15" s="0" t="s">
        <v>194</v>
      </c>
      <c r="B15" s="0" t="s">
        <v>52</v>
      </c>
      <c r="C15" s="0" t="s">
        <v>136</v>
      </c>
      <c r="D15" s="0" t="s">
        <v>195</v>
      </c>
      <c r="E15" s="0" t="s">
        <v>33</v>
      </c>
    </row>
    <row r="16" customFormat="false" ht="15" hidden="false" customHeight="false" outlineLevel="0" collapsed="false">
      <c r="A16" s="0" t="s">
        <v>1207</v>
      </c>
      <c r="B16" s="0" t="s">
        <v>52</v>
      </c>
      <c r="C16" s="0" t="s">
        <v>420</v>
      </c>
      <c r="D16" s="0" t="s">
        <v>1145</v>
      </c>
      <c r="E16" s="0" t="s">
        <v>33</v>
      </c>
    </row>
    <row r="17" customFormat="false" ht="15" hidden="false" customHeight="false" outlineLevel="0" collapsed="false">
      <c r="A17" s="0" t="s">
        <v>1249</v>
      </c>
      <c r="B17" s="0" t="s">
        <v>52</v>
      </c>
      <c r="C17" s="0" t="s">
        <v>420</v>
      </c>
      <c r="D17" s="0" t="s">
        <v>1145</v>
      </c>
      <c r="E17" s="0" t="s">
        <v>33</v>
      </c>
    </row>
    <row r="18" customFormat="false" ht="15" hidden="false" customHeight="false" outlineLevel="0" collapsed="false">
      <c r="A18" s="0" t="s">
        <v>1144</v>
      </c>
      <c r="B18" s="0" t="s">
        <v>52</v>
      </c>
      <c r="C18" s="0" t="s">
        <v>420</v>
      </c>
      <c r="D18" s="0" t="s">
        <v>1145</v>
      </c>
      <c r="E18" s="0" t="s">
        <v>33</v>
      </c>
    </row>
    <row r="19" customFormat="false" ht="15" hidden="false" customHeight="false" outlineLevel="0" collapsed="false">
      <c r="A19" s="0" t="s">
        <v>919</v>
      </c>
      <c r="B19" s="0" t="s">
        <v>52</v>
      </c>
      <c r="C19" s="0" t="s">
        <v>920</v>
      </c>
      <c r="D19" s="0" t="s">
        <v>921</v>
      </c>
      <c r="E19" s="0" t="s">
        <v>33</v>
      </c>
    </row>
    <row r="20" customFormat="false" ht="15" hidden="false" customHeight="false" outlineLevel="0" collapsed="false">
      <c r="A20" s="0" t="s">
        <v>1360</v>
      </c>
      <c r="B20" s="0" t="s">
        <v>52</v>
      </c>
      <c r="C20" s="0" t="s">
        <v>920</v>
      </c>
      <c r="D20" s="0" t="s">
        <v>921</v>
      </c>
      <c r="E20" s="0" t="s">
        <v>33</v>
      </c>
    </row>
    <row r="21" customFormat="false" ht="15" hidden="false" customHeight="false" outlineLevel="0" collapsed="false">
      <c r="A21" s="0" t="s">
        <v>1293</v>
      </c>
      <c r="B21" s="0" t="s">
        <v>52</v>
      </c>
      <c r="C21" s="0" t="s">
        <v>920</v>
      </c>
      <c r="D21" s="0" t="s">
        <v>921</v>
      </c>
      <c r="E21" s="0" t="s">
        <v>33</v>
      </c>
    </row>
    <row r="22" customFormat="false" ht="15" hidden="false" customHeight="false" outlineLevel="0" collapsed="false">
      <c r="A22" s="0" t="s">
        <v>712</v>
      </c>
      <c r="B22" s="0" t="s">
        <v>52</v>
      </c>
      <c r="C22" s="0" t="s">
        <v>91</v>
      </c>
      <c r="D22" s="0" t="s">
        <v>93</v>
      </c>
      <c r="E22" s="0" t="s">
        <v>33</v>
      </c>
    </row>
    <row r="23" customFormat="false" ht="15" hidden="false" customHeight="false" outlineLevel="0" collapsed="false">
      <c r="A23" s="0" t="s">
        <v>1158</v>
      </c>
      <c r="B23" s="0" t="s">
        <v>52</v>
      </c>
      <c r="C23" s="0" t="s">
        <v>91</v>
      </c>
      <c r="D23" s="0" t="s">
        <v>93</v>
      </c>
      <c r="E23" s="0" t="s">
        <v>33</v>
      </c>
    </row>
    <row r="24" customFormat="false" ht="15" hidden="false" customHeight="false" outlineLevel="0" collapsed="false">
      <c r="A24" s="0" t="s">
        <v>90</v>
      </c>
      <c r="B24" s="0" t="s">
        <v>52</v>
      </c>
      <c r="C24" s="0" t="s">
        <v>91</v>
      </c>
      <c r="D24" s="0" t="s">
        <v>93</v>
      </c>
      <c r="E24" s="0" t="s">
        <v>33</v>
      </c>
    </row>
    <row r="25" customFormat="false" ht="15" hidden="false" customHeight="false" outlineLevel="0" collapsed="false">
      <c r="A25" s="0" t="s">
        <v>326</v>
      </c>
      <c r="B25" s="0" t="s">
        <v>52</v>
      </c>
      <c r="C25" s="0" t="s">
        <v>184</v>
      </c>
      <c r="D25" s="0" t="s">
        <v>327</v>
      </c>
      <c r="E25" s="0" t="s">
        <v>33</v>
      </c>
    </row>
    <row r="26" customFormat="false" ht="15" hidden="false" customHeight="false" outlineLevel="0" collapsed="false">
      <c r="A26" s="0" t="s">
        <v>1046</v>
      </c>
      <c r="B26" s="0" t="s">
        <v>52</v>
      </c>
      <c r="C26" s="0" t="s">
        <v>184</v>
      </c>
      <c r="D26" s="0" t="s">
        <v>327</v>
      </c>
      <c r="E26" s="0" t="s">
        <v>33</v>
      </c>
    </row>
    <row r="27" customFormat="false" ht="15" hidden="false" customHeight="false" outlineLevel="0" collapsed="false">
      <c r="A27" s="0" t="s">
        <v>1047</v>
      </c>
      <c r="B27" s="0" t="s">
        <v>52</v>
      </c>
      <c r="C27" s="0" t="s">
        <v>184</v>
      </c>
      <c r="D27" s="0" t="s">
        <v>327</v>
      </c>
      <c r="E27" s="0" t="s">
        <v>33</v>
      </c>
    </row>
    <row r="28" customFormat="false" ht="15" hidden="false" customHeight="false" outlineLevel="0" collapsed="false">
      <c r="A28" s="0" t="s">
        <v>209</v>
      </c>
      <c r="B28" s="0" t="s">
        <v>52</v>
      </c>
      <c r="C28" s="0" t="s">
        <v>177</v>
      </c>
      <c r="D28" s="0" t="s">
        <v>211</v>
      </c>
      <c r="E28" s="0" t="s">
        <v>33</v>
      </c>
    </row>
    <row r="29" customFormat="false" ht="15" hidden="false" customHeight="false" outlineLevel="0" collapsed="false">
      <c r="A29" s="0" t="s">
        <v>1322</v>
      </c>
      <c r="B29" s="0" t="s">
        <v>52</v>
      </c>
      <c r="C29" s="0" t="s">
        <v>177</v>
      </c>
      <c r="D29" s="0" t="s">
        <v>211</v>
      </c>
      <c r="E29" s="0" t="s">
        <v>33</v>
      </c>
    </row>
    <row r="30" customFormat="false" ht="15" hidden="false" customHeight="false" outlineLevel="0" collapsed="false">
      <c r="A30" s="0" t="s">
        <v>642</v>
      </c>
      <c r="B30" s="0" t="s">
        <v>52</v>
      </c>
      <c r="C30" s="0" t="s">
        <v>177</v>
      </c>
      <c r="D30" s="0" t="s">
        <v>211</v>
      </c>
      <c r="E30" s="0" t="s">
        <v>33</v>
      </c>
    </row>
    <row r="31" customFormat="false" ht="15" hidden="false" customHeight="false" outlineLevel="0" collapsed="false">
      <c r="A31" s="0" t="s">
        <v>701</v>
      </c>
      <c r="B31" s="0" t="s">
        <v>52</v>
      </c>
      <c r="C31" s="0" t="s">
        <v>177</v>
      </c>
      <c r="D31" s="0" t="s">
        <v>211</v>
      </c>
      <c r="E31" s="0" t="s">
        <v>33</v>
      </c>
    </row>
    <row r="32" customFormat="false" ht="15" hidden="false" customHeight="false" outlineLevel="0" collapsed="false">
      <c r="A32" s="0" t="s">
        <v>57</v>
      </c>
      <c r="B32" s="0" t="s">
        <v>52</v>
      </c>
      <c r="C32" s="0" t="s">
        <v>58</v>
      </c>
      <c r="D32" s="0" t="s">
        <v>60</v>
      </c>
      <c r="E32" s="0" t="s">
        <v>33</v>
      </c>
    </row>
    <row r="33" customFormat="false" ht="15" hidden="false" customHeight="false" outlineLevel="0" collapsed="false">
      <c r="A33" s="0" t="s">
        <v>537</v>
      </c>
      <c r="B33" s="0" t="s">
        <v>52</v>
      </c>
      <c r="C33" s="0" t="s">
        <v>353</v>
      </c>
      <c r="D33" s="0" t="s">
        <v>539</v>
      </c>
      <c r="E33" s="0" t="s">
        <v>33</v>
      </c>
    </row>
    <row r="34" customFormat="false" ht="15" hidden="false" customHeight="false" outlineLevel="0" collapsed="false">
      <c r="A34" s="0" t="s">
        <v>213</v>
      </c>
      <c r="B34" s="0" t="s">
        <v>52</v>
      </c>
      <c r="C34" s="0" t="s">
        <v>214</v>
      </c>
      <c r="D34" s="0" t="s">
        <v>215</v>
      </c>
      <c r="E34" s="0" t="s">
        <v>33</v>
      </c>
    </row>
    <row r="35" customFormat="false" ht="15" hidden="false" customHeight="false" outlineLevel="0" collapsed="false">
      <c r="A35" s="0" t="s">
        <v>763</v>
      </c>
      <c r="B35" s="0" t="s">
        <v>52</v>
      </c>
      <c r="C35" s="0" t="s">
        <v>189</v>
      </c>
      <c r="D35" s="0" t="s">
        <v>578</v>
      </c>
      <c r="E35" s="0" t="s">
        <v>33</v>
      </c>
    </row>
    <row r="36" customFormat="false" ht="15" hidden="false" customHeight="false" outlineLevel="0" collapsed="false">
      <c r="A36" s="0" t="s">
        <v>1343</v>
      </c>
      <c r="B36" s="0" t="s">
        <v>52</v>
      </c>
      <c r="C36" s="0" t="s">
        <v>189</v>
      </c>
      <c r="D36" s="0" t="s">
        <v>578</v>
      </c>
      <c r="E36" s="0" t="s">
        <v>33</v>
      </c>
    </row>
    <row r="37" customFormat="false" ht="15" hidden="false" customHeight="false" outlineLevel="0" collapsed="false">
      <c r="A37" s="0" t="s">
        <v>942</v>
      </c>
      <c r="B37" s="0" t="s">
        <v>52</v>
      </c>
      <c r="C37" s="0" t="s">
        <v>136</v>
      </c>
      <c r="D37" s="0" t="s">
        <v>944</v>
      </c>
      <c r="E37" s="0" t="s">
        <v>33</v>
      </c>
    </row>
    <row r="38" customFormat="false" ht="15" hidden="false" customHeight="false" outlineLevel="0" collapsed="false">
      <c r="A38" s="0" t="s">
        <v>1252</v>
      </c>
      <c r="B38" s="0" t="s">
        <v>52</v>
      </c>
      <c r="C38" s="0" t="s">
        <v>266</v>
      </c>
      <c r="D38" s="0" t="s">
        <v>1253</v>
      </c>
      <c r="E38" s="0" t="s">
        <v>33</v>
      </c>
    </row>
    <row r="39" customFormat="false" ht="15" hidden="false" customHeight="false" outlineLevel="0" collapsed="false">
      <c r="A39" s="0" t="s">
        <v>1191</v>
      </c>
      <c r="B39" s="0" t="s">
        <v>52</v>
      </c>
      <c r="C39" s="0" t="s">
        <v>261</v>
      </c>
      <c r="D39" s="0" t="s">
        <v>264</v>
      </c>
      <c r="E39" s="0" t="s">
        <v>33</v>
      </c>
    </row>
    <row r="40" customFormat="false" ht="15" hidden="false" customHeight="false" outlineLevel="0" collapsed="false">
      <c r="A40" s="0" t="s">
        <v>932</v>
      </c>
      <c r="B40" s="0" t="s">
        <v>52</v>
      </c>
      <c r="C40" s="0" t="s">
        <v>933</v>
      </c>
      <c r="D40" s="0" t="s">
        <v>934</v>
      </c>
      <c r="E40" s="0" t="s">
        <v>33</v>
      </c>
    </row>
    <row r="41" customFormat="false" ht="15" hidden="false" customHeight="false" outlineLevel="0" collapsed="false">
      <c r="A41" s="0" t="s">
        <v>1042</v>
      </c>
      <c r="B41" s="0" t="s">
        <v>52</v>
      </c>
      <c r="C41" s="0" t="s">
        <v>81</v>
      </c>
      <c r="D41" s="0" t="s">
        <v>225</v>
      </c>
      <c r="E41" s="0" t="s">
        <v>33</v>
      </c>
    </row>
    <row r="42" customFormat="false" ht="15" hidden="false" customHeight="false" outlineLevel="0" collapsed="false">
      <c r="A42" s="0" t="s">
        <v>245</v>
      </c>
      <c r="B42" s="0" t="s">
        <v>52</v>
      </c>
      <c r="C42" s="0" t="s">
        <v>246</v>
      </c>
      <c r="D42" s="0" t="s">
        <v>247</v>
      </c>
      <c r="E42" s="0" t="s">
        <v>33</v>
      </c>
    </row>
    <row r="43" customFormat="false" ht="15" hidden="false" customHeight="false" outlineLevel="0" collapsed="false">
      <c r="A43" s="0" t="s">
        <v>979</v>
      </c>
      <c r="B43" s="0" t="s">
        <v>52</v>
      </c>
      <c r="C43" s="0" t="s">
        <v>73</v>
      </c>
      <c r="D43" s="0" t="s">
        <v>980</v>
      </c>
      <c r="E43" s="0" t="s">
        <v>33</v>
      </c>
    </row>
    <row r="44" customFormat="false" ht="15" hidden="false" customHeight="false" outlineLevel="0" collapsed="false">
      <c r="A44" s="0" t="s">
        <v>672</v>
      </c>
      <c r="B44" s="0" t="s">
        <v>52</v>
      </c>
      <c r="C44" s="0" t="s">
        <v>214</v>
      </c>
      <c r="D44" s="0" t="s">
        <v>215</v>
      </c>
      <c r="E44" s="0" t="s">
        <v>33</v>
      </c>
    </row>
    <row r="45" customFormat="false" ht="15" hidden="false" customHeight="false" outlineLevel="0" collapsed="false">
      <c r="A45" s="0" t="s">
        <v>1212</v>
      </c>
      <c r="B45" s="0" t="s">
        <v>52</v>
      </c>
      <c r="C45" s="0" t="s">
        <v>214</v>
      </c>
      <c r="D45" s="0" t="s">
        <v>215</v>
      </c>
      <c r="E45" s="0" t="s">
        <v>33</v>
      </c>
    </row>
    <row r="46" customFormat="false" ht="15" hidden="false" customHeight="false" outlineLevel="0" collapsed="false">
      <c r="A46" s="0" t="s">
        <v>577</v>
      </c>
      <c r="B46" s="0" t="s">
        <v>52</v>
      </c>
      <c r="C46" s="0" t="s">
        <v>189</v>
      </c>
      <c r="D46" s="0" t="s">
        <v>578</v>
      </c>
      <c r="E46" s="0" t="s">
        <v>33</v>
      </c>
    </row>
    <row r="47" customFormat="false" ht="15" hidden="false" customHeight="false" outlineLevel="0" collapsed="false">
      <c r="A47" s="0" t="s">
        <v>1159</v>
      </c>
      <c r="B47" s="0" t="s">
        <v>52</v>
      </c>
      <c r="C47" s="0" t="s">
        <v>246</v>
      </c>
      <c r="D47" s="0" t="s">
        <v>247</v>
      </c>
      <c r="E47" s="0" t="s">
        <v>33</v>
      </c>
    </row>
    <row r="48" customFormat="false" ht="15" hidden="false" customHeight="false" outlineLevel="0" collapsed="false">
      <c r="A48" s="0" t="s">
        <v>1247</v>
      </c>
      <c r="B48" s="0" t="s">
        <v>52</v>
      </c>
      <c r="C48" s="0" t="s">
        <v>246</v>
      </c>
      <c r="D48" s="0" t="s">
        <v>247</v>
      </c>
      <c r="E48" s="0" t="s">
        <v>33</v>
      </c>
    </row>
    <row r="49" customFormat="false" ht="15" hidden="false" customHeight="false" outlineLevel="0" collapsed="false">
      <c r="A49" s="0" t="s">
        <v>844</v>
      </c>
      <c r="B49" s="0" t="s">
        <v>52</v>
      </c>
      <c r="C49" s="0" t="s">
        <v>58</v>
      </c>
      <c r="D49" s="0" t="s">
        <v>60</v>
      </c>
      <c r="E49" s="0" t="s">
        <v>33</v>
      </c>
    </row>
    <row r="50" customFormat="false" ht="15" hidden="false" customHeight="false" outlineLevel="0" collapsed="false">
      <c r="A50" s="0" t="s">
        <v>1374</v>
      </c>
      <c r="B50" s="0" t="s">
        <v>52</v>
      </c>
      <c r="C50" s="0" t="s">
        <v>73</v>
      </c>
      <c r="D50" s="0" t="s">
        <v>980</v>
      </c>
      <c r="E50" s="0" t="s">
        <v>33</v>
      </c>
    </row>
    <row r="51" customFormat="false" ht="15" hidden="false" customHeight="false" outlineLevel="0" collapsed="false">
      <c r="A51" s="0" t="s">
        <v>831</v>
      </c>
      <c r="B51" s="0" t="s">
        <v>52</v>
      </c>
      <c r="C51" s="0" t="s">
        <v>400</v>
      </c>
      <c r="D51" s="0" t="s">
        <v>832</v>
      </c>
      <c r="E51" s="0" t="s">
        <v>33</v>
      </c>
    </row>
    <row r="52" customFormat="false" ht="15" hidden="false" customHeight="false" outlineLevel="0" collapsed="false">
      <c r="A52" s="0" t="s">
        <v>399</v>
      </c>
      <c r="B52" s="0" t="s">
        <v>52</v>
      </c>
      <c r="C52" s="0" t="s">
        <v>81</v>
      </c>
      <c r="D52" s="0" t="s">
        <v>225</v>
      </c>
      <c r="E52" s="0" t="s">
        <v>33</v>
      </c>
    </row>
    <row r="53" customFormat="false" ht="15" hidden="false" customHeight="false" outlineLevel="0" collapsed="false">
      <c r="A53" s="0" t="s">
        <v>1098</v>
      </c>
      <c r="B53" s="0" t="s">
        <v>52</v>
      </c>
      <c r="C53" s="0" t="s">
        <v>953</v>
      </c>
      <c r="D53" s="0" t="s">
        <v>1099</v>
      </c>
      <c r="E53" s="0" t="s">
        <v>33</v>
      </c>
    </row>
    <row r="54" customFormat="false" ht="15" hidden="false" customHeight="false" outlineLevel="0" collapsed="false">
      <c r="A54" s="0" t="s">
        <v>1278</v>
      </c>
      <c r="B54" s="0" t="s">
        <v>52</v>
      </c>
      <c r="C54" s="0" t="s">
        <v>535</v>
      </c>
      <c r="D54" s="0" t="s">
        <v>909</v>
      </c>
      <c r="E54" s="0" t="s">
        <v>33</v>
      </c>
    </row>
    <row r="55" customFormat="false" ht="15" hidden="false" customHeight="false" outlineLevel="0" collapsed="false">
      <c r="A55" s="0" t="s">
        <v>1376</v>
      </c>
      <c r="B55" s="0" t="s">
        <v>52</v>
      </c>
      <c r="C55" s="0" t="s">
        <v>535</v>
      </c>
      <c r="D55" s="0" t="s">
        <v>909</v>
      </c>
      <c r="E55" s="0" t="s">
        <v>33</v>
      </c>
    </row>
    <row r="56" customFormat="false" ht="15" hidden="false" customHeight="false" outlineLevel="0" collapsed="false">
      <c r="A56" s="0" t="s">
        <v>442</v>
      </c>
      <c r="B56" s="0" t="s">
        <v>52</v>
      </c>
      <c r="C56" s="0" t="s">
        <v>305</v>
      </c>
      <c r="D56" s="0" t="s">
        <v>443</v>
      </c>
      <c r="E56" s="0" t="s">
        <v>33</v>
      </c>
    </row>
    <row r="57" customFormat="false" ht="15" hidden="false" customHeight="false" outlineLevel="0" collapsed="false">
      <c r="A57" s="0" t="s">
        <v>639</v>
      </c>
      <c r="B57" s="0" t="s">
        <v>52</v>
      </c>
      <c r="C57" s="0" t="s">
        <v>305</v>
      </c>
      <c r="D57" s="0" t="s">
        <v>443</v>
      </c>
      <c r="E57" s="0" t="s">
        <v>33</v>
      </c>
    </row>
    <row r="58" customFormat="false" ht="15" hidden="false" customHeight="false" outlineLevel="0" collapsed="false">
      <c r="A58" s="0" t="s">
        <v>1325</v>
      </c>
      <c r="B58" s="0" t="s">
        <v>52</v>
      </c>
      <c r="C58" s="0" t="s">
        <v>305</v>
      </c>
      <c r="D58" s="0" t="s">
        <v>443</v>
      </c>
      <c r="E58" s="0" t="s">
        <v>33</v>
      </c>
    </row>
    <row r="59" customFormat="false" ht="15" hidden="false" customHeight="false" outlineLevel="0" collapsed="false">
      <c r="A59" s="0" t="s">
        <v>1072</v>
      </c>
      <c r="B59" s="0" t="s">
        <v>52</v>
      </c>
      <c r="C59" s="0" t="s">
        <v>447</v>
      </c>
      <c r="D59" s="0" t="s">
        <v>947</v>
      </c>
      <c r="E59" s="0" t="s">
        <v>33</v>
      </c>
    </row>
    <row r="60" customFormat="false" ht="15" hidden="false" customHeight="false" outlineLevel="0" collapsed="false">
      <c r="A60" s="0" t="s">
        <v>946</v>
      </c>
      <c r="B60" s="0" t="s">
        <v>52</v>
      </c>
      <c r="C60" s="0" t="s">
        <v>447</v>
      </c>
      <c r="D60" s="0" t="s">
        <v>947</v>
      </c>
      <c r="E60" s="0" t="s">
        <v>33</v>
      </c>
    </row>
    <row r="61" customFormat="false" ht="15" hidden="false" customHeight="false" outlineLevel="0" collapsed="false">
      <c r="A61" s="0" t="s">
        <v>139</v>
      </c>
      <c r="B61" s="0" t="s">
        <v>52</v>
      </c>
      <c r="C61" s="0" t="s">
        <v>140</v>
      </c>
      <c r="D61" s="0" t="s">
        <v>141</v>
      </c>
      <c r="E61" s="0" t="s">
        <v>33</v>
      </c>
    </row>
    <row r="62" customFormat="false" ht="15" hidden="false" customHeight="false" outlineLevel="0" collapsed="false">
      <c r="A62" s="0" t="s">
        <v>397</v>
      </c>
      <c r="B62" s="0" t="s">
        <v>52</v>
      </c>
      <c r="C62" s="0" t="s">
        <v>140</v>
      </c>
      <c r="D62" s="0" t="s">
        <v>141</v>
      </c>
      <c r="E62" s="0" t="s">
        <v>33</v>
      </c>
    </row>
    <row r="63" customFormat="false" ht="15" hidden="false" customHeight="false" outlineLevel="0" collapsed="false">
      <c r="A63" s="0" t="s">
        <v>681</v>
      </c>
      <c r="B63" s="0" t="s">
        <v>52</v>
      </c>
      <c r="C63" s="0" t="s">
        <v>140</v>
      </c>
      <c r="D63" s="0" t="s">
        <v>141</v>
      </c>
      <c r="E63" s="0" t="s">
        <v>33</v>
      </c>
    </row>
    <row r="64" customFormat="false" ht="15" hidden="false" customHeight="false" outlineLevel="0" collapsed="false">
      <c r="A64" s="0" t="s">
        <v>380</v>
      </c>
      <c r="B64" s="0" t="s">
        <v>52</v>
      </c>
      <c r="C64" s="0" t="s">
        <v>250</v>
      </c>
      <c r="D64" s="0" t="s">
        <v>382</v>
      </c>
      <c r="E64" s="0" t="s">
        <v>33</v>
      </c>
    </row>
    <row r="65" customFormat="false" ht="15" hidden="false" customHeight="false" outlineLevel="0" collapsed="false">
      <c r="A65" s="0" t="s">
        <v>1141</v>
      </c>
      <c r="B65" s="0" t="s">
        <v>52</v>
      </c>
      <c r="C65" s="0" t="s">
        <v>250</v>
      </c>
      <c r="D65" s="0" t="s">
        <v>382</v>
      </c>
      <c r="E65" s="0" t="s">
        <v>33</v>
      </c>
    </row>
    <row r="66" customFormat="false" ht="15" hidden="false" customHeight="false" outlineLevel="0" collapsed="false">
      <c r="A66" s="0" t="s">
        <v>114</v>
      </c>
      <c r="B66" s="0" t="s">
        <v>52</v>
      </c>
      <c r="C66" s="0" t="s">
        <v>115</v>
      </c>
      <c r="D66" s="0" t="s">
        <v>116</v>
      </c>
      <c r="E66" s="0" t="s">
        <v>33</v>
      </c>
    </row>
    <row r="67" customFormat="false" ht="15" hidden="false" customHeight="false" outlineLevel="0" collapsed="false">
      <c r="A67" s="0" t="s">
        <v>1391</v>
      </c>
      <c r="B67" s="0" t="s">
        <v>52</v>
      </c>
      <c r="C67" s="0" t="s">
        <v>115</v>
      </c>
      <c r="D67" s="0" t="s">
        <v>116</v>
      </c>
      <c r="E67" s="0" t="s">
        <v>33</v>
      </c>
    </row>
    <row r="68" customFormat="false" ht="15" hidden="false" customHeight="false" outlineLevel="0" collapsed="false">
      <c r="A68" s="0" t="s">
        <v>296</v>
      </c>
      <c r="B68" s="0" t="s">
        <v>52</v>
      </c>
      <c r="C68" s="0" t="s">
        <v>155</v>
      </c>
      <c r="D68" s="0" t="s">
        <v>297</v>
      </c>
      <c r="E68" s="0" t="s">
        <v>33</v>
      </c>
    </row>
    <row r="69" customFormat="false" ht="15" hidden="false" customHeight="false" outlineLevel="0" collapsed="false">
      <c r="A69" s="0" t="s">
        <v>1275</v>
      </c>
      <c r="B69" s="0" t="s">
        <v>52</v>
      </c>
      <c r="C69" s="0" t="s">
        <v>155</v>
      </c>
      <c r="D69" s="0" t="s">
        <v>297</v>
      </c>
      <c r="E69" s="0" t="s">
        <v>33</v>
      </c>
    </row>
    <row r="70" customFormat="false" ht="15" hidden="false" customHeight="false" outlineLevel="0" collapsed="false">
      <c r="A70" s="0" t="s">
        <v>703</v>
      </c>
      <c r="B70" s="0" t="s">
        <v>52</v>
      </c>
      <c r="C70" s="0" t="s">
        <v>179</v>
      </c>
      <c r="D70" s="0" t="s">
        <v>704</v>
      </c>
      <c r="E70" s="0" t="s">
        <v>33</v>
      </c>
    </row>
    <row r="71" customFormat="false" ht="15" hidden="false" customHeight="false" outlineLevel="0" collapsed="false">
      <c r="A71" s="0" t="s">
        <v>714</v>
      </c>
      <c r="B71" s="0" t="s">
        <v>52</v>
      </c>
      <c r="C71" s="0" t="s">
        <v>179</v>
      </c>
      <c r="D71" s="0" t="s">
        <v>704</v>
      </c>
      <c r="E71" s="0" t="s">
        <v>33</v>
      </c>
    </row>
    <row r="72" customFormat="false" ht="15" hidden="false" customHeight="false" outlineLevel="0" collapsed="false">
      <c r="A72" s="0" t="s">
        <v>1341</v>
      </c>
      <c r="B72" s="0" t="s">
        <v>52</v>
      </c>
      <c r="C72" s="0" t="s">
        <v>179</v>
      </c>
      <c r="D72" s="0" t="s">
        <v>704</v>
      </c>
      <c r="E72" s="0" t="s">
        <v>33</v>
      </c>
    </row>
    <row r="73" customFormat="false" ht="15" hidden="false" customHeight="false" outlineLevel="0" collapsed="false">
      <c r="A73" s="0" t="s">
        <v>652</v>
      </c>
      <c r="B73" s="0" t="s">
        <v>52</v>
      </c>
      <c r="C73" s="0" t="s">
        <v>653</v>
      </c>
      <c r="D73" s="0" t="s">
        <v>655</v>
      </c>
      <c r="E73" s="0" t="s">
        <v>33</v>
      </c>
    </row>
    <row r="74" customFormat="false" ht="15" hidden="false" customHeight="false" outlineLevel="0" collapsed="false">
      <c r="A74" s="0" t="s">
        <v>1235</v>
      </c>
      <c r="B74" s="0" t="s">
        <v>52</v>
      </c>
      <c r="C74" s="0" t="s">
        <v>653</v>
      </c>
      <c r="D74" s="0" t="s">
        <v>655</v>
      </c>
      <c r="E74" s="0" t="s">
        <v>33</v>
      </c>
    </row>
    <row r="75" customFormat="false" ht="15" hidden="false" customHeight="false" outlineLevel="0" collapsed="false">
      <c r="A75" s="0" t="s">
        <v>260</v>
      </c>
      <c r="B75" s="0" t="s">
        <v>52</v>
      </c>
      <c r="C75" s="0" t="s">
        <v>261</v>
      </c>
      <c r="D75" s="0" t="s">
        <v>262</v>
      </c>
      <c r="E75" s="0" t="s">
        <v>33</v>
      </c>
    </row>
    <row r="76" customFormat="false" ht="15" hidden="false" customHeight="false" outlineLevel="0" collapsed="false">
      <c r="A76" s="0" t="s">
        <v>727</v>
      </c>
      <c r="B76" s="0" t="s">
        <v>52</v>
      </c>
      <c r="C76" s="0" t="s">
        <v>261</v>
      </c>
      <c r="D76" s="0" t="s">
        <v>262</v>
      </c>
      <c r="E76" s="0" t="s">
        <v>33</v>
      </c>
    </row>
    <row r="77" customFormat="false" ht="15" hidden="false" customHeight="false" outlineLevel="0" collapsed="false">
      <c r="A77" s="0" t="s">
        <v>742</v>
      </c>
      <c r="B77" s="0" t="s">
        <v>52</v>
      </c>
      <c r="C77" s="0" t="s">
        <v>261</v>
      </c>
      <c r="D77" s="0" t="s">
        <v>262</v>
      </c>
      <c r="E77" s="0" t="s">
        <v>33</v>
      </c>
    </row>
    <row r="78" customFormat="false" ht="15" hidden="false" customHeight="false" outlineLevel="0" collapsed="false">
      <c r="A78" s="0" t="s">
        <v>1333</v>
      </c>
      <c r="B78" s="0" t="s">
        <v>52</v>
      </c>
      <c r="C78" s="0" t="s">
        <v>261</v>
      </c>
      <c r="D78" s="0" t="s">
        <v>262</v>
      </c>
      <c r="E78" s="0" t="s">
        <v>33</v>
      </c>
    </row>
    <row r="79" customFormat="false" ht="15" hidden="false" customHeight="false" outlineLevel="0" collapsed="false">
      <c r="A79" s="0" t="s">
        <v>1178</v>
      </c>
      <c r="B79" s="0" t="s">
        <v>52</v>
      </c>
      <c r="C79" s="0" t="s">
        <v>532</v>
      </c>
      <c r="D79" s="0" t="s">
        <v>1180</v>
      </c>
      <c r="E79" s="0" t="s">
        <v>33</v>
      </c>
    </row>
    <row r="80" customFormat="false" ht="15" hidden="false" customHeight="false" outlineLevel="0" collapsed="false">
      <c r="A80" s="0" t="s">
        <v>891</v>
      </c>
      <c r="B80" s="0" t="s">
        <v>52</v>
      </c>
      <c r="C80" s="0" t="s">
        <v>687</v>
      </c>
      <c r="D80" s="0" t="s">
        <v>892</v>
      </c>
      <c r="E80" s="0" t="s">
        <v>33</v>
      </c>
    </row>
    <row r="81" customFormat="false" ht="15" hidden="false" customHeight="false" outlineLevel="0" collapsed="false">
      <c r="A81" s="0" t="s">
        <v>1201</v>
      </c>
      <c r="B81" s="0" t="s">
        <v>52</v>
      </c>
      <c r="C81" s="0" t="s">
        <v>687</v>
      </c>
      <c r="D81" s="0" t="s">
        <v>892</v>
      </c>
      <c r="E81" s="0" t="s">
        <v>33</v>
      </c>
    </row>
    <row r="82" customFormat="false" ht="15" hidden="false" customHeight="false" outlineLevel="0" collapsed="false">
      <c r="A82" s="0" t="s">
        <v>1009</v>
      </c>
      <c r="B82" s="0" t="s">
        <v>52</v>
      </c>
      <c r="C82" s="0" t="s">
        <v>440</v>
      </c>
      <c r="D82" s="0" t="s">
        <v>914</v>
      </c>
      <c r="E82" s="0" t="s">
        <v>33</v>
      </c>
    </row>
    <row r="83" customFormat="false" ht="15" hidden="false" customHeight="false" outlineLevel="0" collapsed="false">
      <c r="A83" s="0" t="s">
        <v>1256</v>
      </c>
      <c r="B83" s="0" t="s">
        <v>52</v>
      </c>
      <c r="C83" s="0" t="s">
        <v>440</v>
      </c>
      <c r="D83" s="0" t="s">
        <v>914</v>
      </c>
      <c r="E83" s="0" t="s">
        <v>33</v>
      </c>
    </row>
    <row r="84" customFormat="false" ht="15" hidden="false" customHeight="false" outlineLevel="0" collapsed="false">
      <c r="A84" s="0" t="s">
        <v>913</v>
      </c>
      <c r="B84" s="0" t="s">
        <v>52</v>
      </c>
      <c r="C84" s="0" t="s">
        <v>440</v>
      </c>
      <c r="D84" s="0" t="s">
        <v>914</v>
      </c>
      <c r="E84" s="0" t="s">
        <v>33</v>
      </c>
    </row>
    <row r="85" customFormat="false" ht="15" hidden="false" customHeight="false" outlineLevel="0" collapsed="false">
      <c r="A85" s="0" t="s">
        <v>1017</v>
      </c>
      <c r="B85" s="0" t="s">
        <v>52</v>
      </c>
      <c r="C85" s="0" t="s">
        <v>81</v>
      </c>
      <c r="D85" s="0" t="s">
        <v>225</v>
      </c>
      <c r="E85" s="0" t="s">
        <v>33</v>
      </c>
    </row>
    <row r="86" customFormat="false" ht="15" hidden="false" customHeight="false" outlineLevel="0" collapsed="false">
      <c r="A86" s="0" t="s">
        <v>1214</v>
      </c>
      <c r="B86" s="0" t="s">
        <v>52</v>
      </c>
      <c r="C86" s="0" t="s">
        <v>321</v>
      </c>
      <c r="D86" s="0" t="s">
        <v>1215</v>
      </c>
      <c r="E86" s="0" t="s">
        <v>33</v>
      </c>
    </row>
    <row r="87" customFormat="false" ht="15" hidden="false" customHeight="false" outlineLevel="0" collapsed="false">
      <c r="A87" s="0" t="s">
        <v>1023</v>
      </c>
      <c r="B87" s="0" t="s">
        <v>52</v>
      </c>
      <c r="C87" s="0" t="s">
        <v>789</v>
      </c>
      <c r="D87" s="0" t="s">
        <v>790</v>
      </c>
      <c r="E87" s="0" t="s">
        <v>33</v>
      </c>
    </row>
    <row r="88" customFormat="false" ht="15" hidden="false" customHeight="false" outlineLevel="0" collapsed="false">
      <c r="A88" s="0" t="s">
        <v>788</v>
      </c>
      <c r="B88" s="0" t="s">
        <v>52</v>
      </c>
      <c r="C88" s="0" t="s">
        <v>789</v>
      </c>
      <c r="D88" s="0" t="s">
        <v>790</v>
      </c>
      <c r="E88" s="0" t="s">
        <v>33</v>
      </c>
    </row>
    <row r="89" customFormat="false" ht="15" hidden="false" customHeight="false" outlineLevel="0" collapsed="false">
      <c r="A89" s="0" t="s">
        <v>1264</v>
      </c>
      <c r="B89" s="0" t="s">
        <v>52</v>
      </c>
      <c r="C89" s="0" t="s">
        <v>789</v>
      </c>
      <c r="D89" s="0" t="s">
        <v>790</v>
      </c>
      <c r="E89" s="0" t="s">
        <v>33</v>
      </c>
    </row>
    <row r="90" customFormat="false" ht="15" hidden="false" customHeight="false" outlineLevel="0" collapsed="false">
      <c r="A90" s="0" t="s">
        <v>1104</v>
      </c>
      <c r="B90" s="0" t="s">
        <v>52</v>
      </c>
      <c r="C90" s="0" t="s">
        <v>1105</v>
      </c>
      <c r="D90" s="0" t="s">
        <v>1106</v>
      </c>
      <c r="E90" s="0" t="s">
        <v>33</v>
      </c>
    </row>
    <row r="91" customFormat="false" ht="15" hidden="false" customHeight="false" outlineLevel="0" collapsed="false">
      <c r="A91" s="0" t="s">
        <v>949</v>
      </c>
      <c r="B91" s="0" t="s">
        <v>52</v>
      </c>
      <c r="C91" s="0" t="s">
        <v>64</v>
      </c>
      <c r="D91" s="0" t="s">
        <v>595</v>
      </c>
      <c r="E91" s="0" t="s">
        <v>33</v>
      </c>
    </row>
    <row r="92" customFormat="false" ht="15" hidden="false" customHeight="false" outlineLevel="0" collapsed="false">
      <c r="A92" s="0" t="s">
        <v>594</v>
      </c>
      <c r="B92" s="0" t="s">
        <v>52</v>
      </c>
      <c r="C92" s="0" t="s">
        <v>64</v>
      </c>
      <c r="D92" s="0" t="s">
        <v>595</v>
      </c>
      <c r="E92" s="0" t="s">
        <v>33</v>
      </c>
    </row>
    <row r="93" customFormat="false" ht="15" hidden="false" customHeight="false" outlineLevel="0" collapsed="false">
      <c r="A93" s="0" t="s">
        <v>1059</v>
      </c>
      <c r="B93" s="0" t="s">
        <v>52</v>
      </c>
      <c r="C93" s="0" t="s">
        <v>64</v>
      </c>
      <c r="D93" s="0" t="s">
        <v>595</v>
      </c>
      <c r="E93" s="0" t="s">
        <v>33</v>
      </c>
    </row>
    <row r="94" customFormat="false" ht="15" hidden="false" customHeight="false" outlineLevel="0" collapsed="false">
      <c r="A94" s="0" t="s">
        <v>1224</v>
      </c>
      <c r="B94" s="0" t="s">
        <v>52</v>
      </c>
      <c r="C94" s="0" t="s">
        <v>825</v>
      </c>
      <c r="D94" s="0" t="s">
        <v>826</v>
      </c>
      <c r="E94" s="0" t="s">
        <v>33</v>
      </c>
    </row>
    <row r="95" customFormat="false" ht="15" hidden="false" customHeight="false" outlineLevel="0" collapsed="false">
      <c r="A95" s="0" t="s">
        <v>824</v>
      </c>
      <c r="B95" s="0" t="s">
        <v>52</v>
      </c>
      <c r="C95" s="0" t="s">
        <v>825</v>
      </c>
      <c r="D95" s="0" t="s">
        <v>826</v>
      </c>
      <c r="E95" s="0" t="s">
        <v>33</v>
      </c>
    </row>
    <row r="96" customFormat="false" ht="15" hidden="false" customHeight="false" outlineLevel="0" collapsed="false">
      <c r="A96" s="0" t="s">
        <v>471</v>
      </c>
      <c r="B96" s="0" t="s">
        <v>52</v>
      </c>
      <c r="C96" s="0" t="s">
        <v>410</v>
      </c>
      <c r="D96" s="0" t="s">
        <v>473</v>
      </c>
      <c r="E96" s="0" t="s">
        <v>33</v>
      </c>
    </row>
    <row r="97" customFormat="false" ht="15" hidden="false" customHeight="false" outlineLevel="0" collapsed="false">
      <c r="A97" s="0" t="s">
        <v>1077</v>
      </c>
      <c r="B97" s="0" t="s">
        <v>52</v>
      </c>
      <c r="C97" s="0" t="s">
        <v>410</v>
      </c>
      <c r="D97" s="0" t="s">
        <v>473</v>
      </c>
      <c r="E97" s="0" t="s">
        <v>33</v>
      </c>
    </row>
    <row r="98" customFormat="false" ht="15" hidden="false" customHeight="false" outlineLevel="0" collapsed="false">
      <c r="A98" s="0" t="s">
        <v>122</v>
      </c>
      <c r="B98" s="0" t="s">
        <v>52</v>
      </c>
      <c r="C98" s="0" t="s">
        <v>123</v>
      </c>
      <c r="D98" s="0" t="s">
        <v>124</v>
      </c>
      <c r="E98" s="0" t="s">
        <v>33</v>
      </c>
    </row>
    <row r="99" customFormat="false" ht="15" hidden="false" customHeight="false" outlineLevel="0" collapsed="false">
      <c r="A99" s="0" t="s">
        <v>1027</v>
      </c>
      <c r="B99" s="0" t="s">
        <v>52</v>
      </c>
      <c r="C99" s="0" t="s">
        <v>769</v>
      </c>
      <c r="D99" s="0" t="s">
        <v>1028</v>
      </c>
      <c r="E99" s="0" t="s">
        <v>33</v>
      </c>
    </row>
    <row r="100" customFormat="false" ht="15" hidden="false" customHeight="false" outlineLevel="0" collapsed="false">
      <c r="A100" s="0" t="s">
        <v>1269</v>
      </c>
      <c r="B100" s="0" t="s">
        <v>52</v>
      </c>
      <c r="C100" s="0" t="s">
        <v>769</v>
      </c>
      <c r="D100" s="0" t="s">
        <v>1028</v>
      </c>
      <c r="E100" s="0" t="s">
        <v>33</v>
      </c>
    </row>
    <row r="101" customFormat="false" ht="15" hidden="false" customHeight="false" outlineLevel="0" collapsed="false">
      <c r="A101" s="0" t="s">
        <v>731</v>
      </c>
      <c r="B101" s="0" t="s">
        <v>52</v>
      </c>
      <c r="C101" s="0" t="s">
        <v>732</v>
      </c>
      <c r="D101" s="0" t="s">
        <v>734</v>
      </c>
      <c r="E101" s="0" t="s">
        <v>33</v>
      </c>
    </row>
    <row r="102" customFormat="false" ht="15" hidden="false" customHeight="false" outlineLevel="0" collapsed="false">
      <c r="A102" s="0" t="s">
        <v>1396</v>
      </c>
      <c r="B102" s="0" t="s">
        <v>52</v>
      </c>
      <c r="C102" s="0" t="s">
        <v>732</v>
      </c>
      <c r="D102" s="0" t="s">
        <v>734</v>
      </c>
      <c r="E102" s="0" t="s">
        <v>33</v>
      </c>
    </row>
    <row r="103" customFormat="false" ht="15" hidden="false" customHeight="false" outlineLevel="0" collapsed="false">
      <c r="A103" s="0" t="s">
        <v>168</v>
      </c>
      <c r="B103" s="0" t="s">
        <v>52</v>
      </c>
      <c r="C103" s="0" t="s">
        <v>169</v>
      </c>
      <c r="D103" s="0" t="s">
        <v>170</v>
      </c>
      <c r="E103" s="0" t="s">
        <v>33</v>
      </c>
    </row>
    <row r="104" customFormat="false" ht="15" hidden="false" customHeight="false" outlineLevel="0" collapsed="false">
      <c r="A104" s="0" t="s">
        <v>937</v>
      </c>
      <c r="B104" s="0" t="s">
        <v>52</v>
      </c>
      <c r="C104" s="0" t="s">
        <v>938</v>
      </c>
      <c r="D104" s="0" t="s">
        <v>939</v>
      </c>
      <c r="E104" s="0" t="s">
        <v>33</v>
      </c>
    </row>
    <row r="105" customFormat="false" ht="15" hidden="false" customHeight="false" outlineLevel="0" collapsed="false">
      <c r="A105" s="0" t="s">
        <v>1136</v>
      </c>
      <c r="B105" s="0" t="s">
        <v>52</v>
      </c>
      <c r="C105" s="0" t="s">
        <v>1137</v>
      </c>
      <c r="D105" s="0" t="s">
        <v>1138</v>
      </c>
      <c r="E105" s="0" t="s">
        <v>33</v>
      </c>
    </row>
    <row r="106" customFormat="false" ht="15" hidden="false" customHeight="false" outlineLevel="0" collapsed="false">
      <c r="A106" s="0" t="s">
        <v>883</v>
      </c>
      <c r="B106" s="0" t="s">
        <v>52</v>
      </c>
      <c r="C106" s="0" t="s">
        <v>340</v>
      </c>
      <c r="D106" s="0" t="s">
        <v>341</v>
      </c>
      <c r="E106" s="0" t="s">
        <v>33</v>
      </c>
    </row>
    <row r="107" customFormat="false" ht="15" hidden="false" customHeight="false" outlineLevel="0" collapsed="false">
      <c r="A107" s="0" t="s">
        <v>339</v>
      </c>
      <c r="B107" s="0" t="s">
        <v>52</v>
      </c>
      <c r="C107" s="0" t="s">
        <v>340</v>
      </c>
      <c r="D107" s="0" t="s">
        <v>341</v>
      </c>
      <c r="E107" s="0" t="s">
        <v>33</v>
      </c>
    </row>
    <row r="108" customFormat="false" ht="15" hidden="false" customHeight="false" outlineLevel="0" collapsed="false">
      <c r="A108" s="0" t="s">
        <v>973</v>
      </c>
      <c r="B108" s="0" t="s">
        <v>52</v>
      </c>
      <c r="C108" s="0" t="s">
        <v>974</v>
      </c>
      <c r="D108" s="0" t="s">
        <v>976</v>
      </c>
      <c r="E108" s="0" t="s">
        <v>33</v>
      </c>
    </row>
    <row r="109" customFormat="false" ht="15" hidden="false" customHeight="false" outlineLevel="0" collapsed="false">
      <c r="A109" s="0" t="s">
        <v>1272</v>
      </c>
      <c r="B109" s="0" t="s">
        <v>52</v>
      </c>
      <c r="C109" s="0" t="s">
        <v>111</v>
      </c>
      <c r="D109" s="0" t="s">
        <v>1273</v>
      </c>
      <c r="E109" s="0" t="s">
        <v>33</v>
      </c>
    </row>
    <row r="110" customFormat="false" ht="15" hidden="false" customHeight="false" outlineLevel="0" collapsed="false">
      <c r="A110" s="0" t="s">
        <v>1002</v>
      </c>
      <c r="B110" s="0" t="s">
        <v>52</v>
      </c>
      <c r="C110" s="0" t="s">
        <v>812</v>
      </c>
      <c r="D110" s="0" t="s">
        <v>1003</v>
      </c>
      <c r="E110" s="0" t="s">
        <v>33</v>
      </c>
    </row>
    <row r="111" customFormat="false" ht="15" hidden="false" customHeight="false" outlineLevel="0" collapsed="false">
      <c r="A111" s="0" t="s">
        <v>1381</v>
      </c>
      <c r="B111" s="0" t="s">
        <v>52</v>
      </c>
      <c r="C111" s="0" t="s">
        <v>1382</v>
      </c>
      <c r="D111" s="0" t="s">
        <v>1383</v>
      </c>
      <c r="E111" s="0" t="s">
        <v>33</v>
      </c>
    </row>
    <row r="112" customFormat="false" ht="15" hidden="false" customHeight="false" outlineLevel="0" collapsed="false">
      <c r="A112" s="0" t="s">
        <v>404</v>
      </c>
      <c r="B112" s="0" t="s">
        <v>52</v>
      </c>
      <c r="C112" s="0" t="s">
        <v>405</v>
      </c>
      <c r="D112" s="0" t="s">
        <v>406</v>
      </c>
      <c r="E112" s="0" t="s">
        <v>33</v>
      </c>
    </row>
    <row r="113" customFormat="false" ht="15" hidden="false" customHeight="false" outlineLevel="0" collapsed="false">
      <c r="A113" s="0" t="s">
        <v>239</v>
      </c>
      <c r="B113" s="0" t="s">
        <v>52</v>
      </c>
      <c r="C113" s="0" t="s">
        <v>241</v>
      </c>
      <c r="D113" s="0" t="s">
        <v>242</v>
      </c>
      <c r="E113" s="0" t="s">
        <v>33</v>
      </c>
    </row>
    <row r="114" customFormat="false" ht="15" hidden="false" customHeight="false" outlineLevel="0" collapsed="false">
      <c r="A114" s="0" t="s">
        <v>967</v>
      </c>
      <c r="B114" s="0" t="s">
        <v>52</v>
      </c>
      <c r="C114" s="0" t="s">
        <v>250</v>
      </c>
      <c r="D114" s="0" t="s">
        <v>382</v>
      </c>
      <c r="E114" s="0" t="s">
        <v>33</v>
      </c>
    </row>
    <row r="115" customFormat="false" ht="15" hidden="false" customHeight="false" outlineLevel="0" collapsed="false">
      <c r="A115" s="0" t="s">
        <v>21</v>
      </c>
      <c r="B115" s="0" t="s">
        <v>29</v>
      </c>
      <c r="C115" s="0" t="s">
        <v>27</v>
      </c>
      <c r="D115" s="0" t="s">
        <v>31</v>
      </c>
      <c r="E115" s="0" t="s">
        <v>33</v>
      </c>
    </row>
    <row r="116" customFormat="false" ht="15" hidden="false" customHeight="false" outlineLevel="0" collapsed="false">
      <c r="A116" s="0" t="s">
        <v>183</v>
      </c>
      <c r="B116" s="0" t="s">
        <v>29</v>
      </c>
      <c r="C116" s="0" t="s">
        <v>27</v>
      </c>
      <c r="D116" s="0" t="s">
        <v>185</v>
      </c>
      <c r="E116" s="0" t="s">
        <v>33</v>
      </c>
    </row>
    <row r="117" customFormat="false" ht="15" hidden="false" customHeight="false" outlineLevel="0" collapsed="false">
      <c r="A117" s="0" t="s">
        <v>217</v>
      </c>
      <c r="B117" s="0" t="s">
        <v>29</v>
      </c>
      <c r="C117" s="0" t="s">
        <v>219</v>
      </c>
      <c r="D117" s="0" t="s">
        <v>220</v>
      </c>
      <c r="E117" s="0" t="s">
        <v>33</v>
      </c>
    </row>
    <row r="118" customFormat="false" ht="15" hidden="false" customHeight="false" outlineLevel="0" collapsed="false">
      <c r="A118" s="0" t="s">
        <v>198</v>
      </c>
      <c r="B118" s="0" t="s">
        <v>29</v>
      </c>
      <c r="C118" s="0" t="s">
        <v>200</v>
      </c>
      <c r="D118" s="0" t="s">
        <v>201</v>
      </c>
      <c r="E118" s="0" t="s">
        <v>33</v>
      </c>
    </row>
    <row r="119" customFormat="false" ht="15" hidden="false" customHeight="false" outlineLevel="0" collapsed="false">
      <c r="A119" s="0" t="s">
        <v>256</v>
      </c>
      <c r="B119" s="0" t="s">
        <v>29</v>
      </c>
      <c r="C119" s="0" t="s">
        <v>257</v>
      </c>
      <c r="D119" s="0" t="s">
        <v>258</v>
      </c>
      <c r="E119" s="0" t="s">
        <v>33</v>
      </c>
    </row>
    <row r="120" customFormat="false" ht="15" hidden="false" customHeight="false" outlineLevel="0" collapsed="false">
      <c r="A120" s="0" t="s">
        <v>249</v>
      </c>
      <c r="B120" s="0" t="s">
        <v>29</v>
      </c>
      <c r="C120" s="0" t="s">
        <v>252</v>
      </c>
      <c r="D120" s="0" t="s">
        <v>253</v>
      </c>
      <c r="E120" s="0" t="s">
        <v>33</v>
      </c>
    </row>
    <row r="121" customFormat="false" ht="15" hidden="false" customHeight="false" outlineLevel="0" collapsed="false">
      <c r="A121" s="0" t="s">
        <v>359</v>
      </c>
      <c r="B121" s="0" t="s">
        <v>29</v>
      </c>
      <c r="C121" s="0" t="s">
        <v>360</v>
      </c>
      <c r="D121" s="0" t="s">
        <v>362</v>
      </c>
      <c r="E121" s="0" t="s">
        <v>33</v>
      </c>
    </row>
    <row r="122" customFormat="false" ht="15" hidden="false" customHeight="false" outlineLevel="0" collapsed="false">
      <c r="A122" s="0" t="s">
        <v>370</v>
      </c>
      <c r="B122" s="0" t="s">
        <v>29</v>
      </c>
      <c r="C122" s="0" t="s">
        <v>372</v>
      </c>
      <c r="D122" s="0" t="s">
        <v>373</v>
      </c>
      <c r="E122" s="0" t="s">
        <v>33</v>
      </c>
    </row>
    <row r="123" customFormat="false" ht="15" hidden="false" customHeight="false" outlineLevel="0" collapsed="false">
      <c r="A123" s="0" t="s">
        <v>446</v>
      </c>
      <c r="B123" s="0" t="s">
        <v>29</v>
      </c>
      <c r="C123" s="0" t="s">
        <v>448</v>
      </c>
      <c r="D123" s="0" t="s">
        <v>449</v>
      </c>
      <c r="E123" s="0" t="s">
        <v>33</v>
      </c>
    </row>
    <row r="124" customFormat="false" ht="15" hidden="false" customHeight="false" outlineLevel="0" collapsed="false">
      <c r="A124" s="0" t="s">
        <v>413</v>
      </c>
      <c r="B124" s="0" t="s">
        <v>29</v>
      </c>
      <c r="C124" s="0" t="s">
        <v>415</v>
      </c>
      <c r="D124" s="0" t="s">
        <v>416</v>
      </c>
      <c r="E124" s="0" t="s">
        <v>33</v>
      </c>
    </row>
    <row r="125" customFormat="false" ht="15" hidden="false" customHeight="false" outlineLevel="0" collapsed="false">
      <c r="A125" s="0" t="s">
        <v>426</v>
      </c>
      <c r="B125" s="0" t="s">
        <v>29</v>
      </c>
      <c r="C125" s="0" t="s">
        <v>427</v>
      </c>
      <c r="D125" s="0" t="s">
        <v>428</v>
      </c>
      <c r="E125" s="0" t="s">
        <v>33</v>
      </c>
    </row>
    <row r="126" customFormat="false" ht="15" hidden="false" customHeight="false" outlineLevel="0" collapsed="false">
      <c r="A126" s="0" t="s">
        <v>467</v>
      </c>
      <c r="B126" s="0" t="s">
        <v>29</v>
      </c>
      <c r="C126" s="0" t="s">
        <v>468</v>
      </c>
      <c r="D126" s="0" t="s">
        <v>469</v>
      </c>
      <c r="E126" s="0" t="s">
        <v>33</v>
      </c>
    </row>
    <row r="127" customFormat="false" ht="15" hidden="false" customHeight="false" outlineLevel="0" collapsed="false">
      <c r="A127" s="0" t="s">
        <v>487</v>
      </c>
      <c r="B127" s="0" t="s">
        <v>29</v>
      </c>
      <c r="C127" s="0" t="s">
        <v>488</v>
      </c>
      <c r="D127" s="0" t="s">
        <v>489</v>
      </c>
      <c r="E127" s="0" t="s">
        <v>33</v>
      </c>
    </row>
    <row r="128" customFormat="false" ht="15" hidden="false" customHeight="false" outlineLevel="0" collapsed="false">
      <c r="A128" s="0" t="s">
        <v>385</v>
      </c>
      <c r="B128" s="0" t="s">
        <v>29</v>
      </c>
      <c r="C128" s="0" t="s">
        <v>388</v>
      </c>
      <c r="D128" s="0" t="s">
        <v>389</v>
      </c>
      <c r="E128" s="0" t="s">
        <v>33</v>
      </c>
    </row>
    <row r="129" customFormat="false" ht="15" hidden="false" customHeight="false" outlineLevel="0" collapsed="false">
      <c r="A129" s="0" t="s">
        <v>452</v>
      </c>
      <c r="B129" s="0" t="s">
        <v>29</v>
      </c>
      <c r="C129" s="0" t="s">
        <v>453</v>
      </c>
      <c r="D129" s="0" t="s">
        <v>454</v>
      </c>
      <c r="E129" s="0" t="s">
        <v>33</v>
      </c>
    </row>
    <row r="130" customFormat="false" ht="15" hidden="false" customHeight="false" outlineLevel="0" collapsed="false">
      <c r="A130" s="0" t="s">
        <v>478</v>
      </c>
      <c r="B130" s="0" t="s">
        <v>29</v>
      </c>
      <c r="C130" s="0" t="s">
        <v>219</v>
      </c>
      <c r="D130" s="0" t="s">
        <v>479</v>
      </c>
      <c r="E130" s="0" t="s">
        <v>33</v>
      </c>
    </row>
    <row r="131" customFormat="false" ht="15" hidden="false" customHeight="false" outlineLevel="0" collapsed="false">
      <c r="A131" s="0" t="s">
        <v>565</v>
      </c>
      <c r="B131" s="0" t="s">
        <v>29</v>
      </c>
      <c r="C131" s="0" t="s">
        <v>567</v>
      </c>
      <c r="D131" s="0" t="s">
        <v>568</v>
      </c>
      <c r="E131" s="0" t="s">
        <v>33</v>
      </c>
    </row>
    <row r="132" customFormat="false" ht="15" hidden="false" customHeight="false" outlineLevel="0" collapsed="false">
      <c r="A132" s="0" t="s">
        <v>551</v>
      </c>
      <c r="B132" s="0" t="s">
        <v>29</v>
      </c>
      <c r="C132" s="0" t="s">
        <v>130</v>
      </c>
      <c r="D132" s="0" t="s">
        <v>553</v>
      </c>
      <c r="E132" s="0" t="s">
        <v>33</v>
      </c>
    </row>
    <row r="133" customFormat="false" ht="15" hidden="false" customHeight="false" outlineLevel="0" collapsed="false">
      <c r="A133" s="0" t="s">
        <v>615</v>
      </c>
      <c r="B133" s="0" t="s">
        <v>29</v>
      </c>
      <c r="C133" s="0" t="s">
        <v>427</v>
      </c>
      <c r="D133" s="0" t="s">
        <v>617</v>
      </c>
      <c r="E133" s="0" t="s">
        <v>33</v>
      </c>
    </row>
    <row r="134" customFormat="false" ht="15" hidden="false" customHeight="false" outlineLevel="0" collapsed="false">
      <c r="A134" s="0" t="s">
        <v>1120</v>
      </c>
      <c r="B134" s="0" t="s">
        <v>29</v>
      </c>
      <c r="C134" s="0" t="s">
        <v>427</v>
      </c>
      <c r="D134" s="0" t="s">
        <v>1121</v>
      </c>
      <c r="E134" s="0" t="s">
        <v>33</v>
      </c>
    </row>
    <row r="135" customFormat="false" ht="15" hidden="false" customHeight="false" outlineLevel="0" collapsed="false">
      <c r="A135" s="0" t="s">
        <v>707</v>
      </c>
      <c r="B135" s="0" t="s">
        <v>29</v>
      </c>
      <c r="C135" s="0" t="s">
        <v>355</v>
      </c>
      <c r="D135" s="0" t="s">
        <v>709</v>
      </c>
      <c r="E135" s="0" t="s">
        <v>33</v>
      </c>
    </row>
    <row r="136" customFormat="false" ht="15" hidden="false" customHeight="false" outlineLevel="0" collapsed="false">
      <c r="A136" s="0" t="s">
        <v>957</v>
      </c>
      <c r="B136" s="0" t="s">
        <v>29</v>
      </c>
      <c r="C136" s="0" t="s">
        <v>219</v>
      </c>
      <c r="D136" s="0" t="s">
        <v>958</v>
      </c>
      <c r="E136" s="0" t="s">
        <v>33</v>
      </c>
    </row>
    <row r="137" customFormat="false" ht="15" hidden="false" customHeight="false" outlineLevel="0" collapsed="false">
      <c r="A137" s="0" t="s">
        <v>1013</v>
      </c>
      <c r="B137" s="0" t="s">
        <v>29</v>
      </c>
      <c r="C137" s="0" t="s">
        <v>388</v>
      </c>
      <c r="D137" s="0" t="s">
        <v>1014</v>
      </c>
      <c r="E137" s="0" t="s">
        <v>33</v>
      </c>
    </row>
    <row r="138" customFormat="false" ht="15" hidden="false" customHeight="false" outlineLevel="0" collapsed="false">
      <c r="A138" s="0" t="s">
        <v>632</v>
      </c>
      <c r="B138" s="0" t="s">
        <v>29</v>
      </c>
      <c r="C138" s="0" t="s">
        <v>349</v>
      </c>
      <c r="D138" s="0" t="s">
        <v>633</v>
      </c>
      <c r="E138" s="0" t="s">
        <v>33</v>
      </c>
    </row>
    <row r="139" customFormat="false" ht="15" hidden="false" customHeight="false" outlineLevel="0" collapsed="false">
      <c r="A139" s="0" t="s">
        <v>348</v>
      </c>
      <c r="B139" s="0" t="s">
        <v>29</v>
      </c>
      <c r="C139" s="0" t="s">
        <v>349</v>
      </c>
      <c r="D139" s="0" t="s">
        <v>350</v>
      </c>
      <c r="E139" s="0" t="s">
        <v>33</v>
      </c>
    </row>
    <row r="140" customFormat="false" ht="15" hidden="false" customHeight="false" outlineLevel="0" collapsed="false">
      <c r="A140" s="0" t="s">
        <v>99</v>
      </c>
      <c r="B140" s="0" t="s">
        <v>52</v>
      </c>
      <c r="C140" s="0" t="s">
        <v>100</v>
      </c>
      <c r="D140" s="0" t="s">
        <v>101</v>
      </c>
      <c r="E140" s="0" t="s">
        <v>33</v>
      </c>
    </row>
    <row r="141" customFormat="false" ht="15" hidden="false" customHeight="false" outlineLevel="0" collapsed="false">
      <c r="A141" s="0" t="s">
        <v>279</v>
      </c>
      <c r="B141" s="0" t="s">
        <v>52</v>
      </c>
      <c r="C141" s="0" t="s">
        <v>282</v>
      </c>
      <c r="D141" s="0" t="s">
        <v>283</v>
      </c>
      <c r="E141" s="0" t="s">
        <v>33</v>
      </c>
    </row>
    <row r="142" customFormat="false" ht="15" hidden="false" customHeight="false" outlineLevel="0" collapsed="false">
      <c r="A142" s="0" t="s">
        <v>233</v>
      </c>
      <c r="B142" s="0" t="s">
        <v>52</v>
      </c>
      <c r="C142" s="0" t="s">
        <v>234</v>
      </c>
      <c r="D142" s="0" t="s">
        <v>235</v>
      </c>
      <c r="E142" s="0" t="s">
        <v>33</v>
      </c>
    </row>
    <row r="143" customFormat="false" ht="15" hidden="false" customHeight="false" outlineLevel="0" collapsed="false">
      <c r="A143" s="0" t="s">
        <v>320</v>
      </c>
      <c r="B143" s="0" t="s">
        <v>52</v>
      </c>
      <c r="C143" s="0" t="s">
        <v>322</v>
      </c>
      <c r="D143" s="0" t="s">
        <v>323</v>
      </c>
      <c r="E143" s="0" t="s">
        <v>33</v>
      </c>
    </row>
    <row r="144" customFormat="false" ht="15" hidden="false" customHeight="false" outlineLevel="0" collapsed="false">
      <c r="A144" s="0" t="s">
        <v>513</v>
      </c>
      <c r="B144" s="0" t="s">
        <v>29</v>
      </c>
      <c r="C144" s="0" t="s">
        <v>515</v>
      </c>
      <c r="D144" s="0" t="s">
        <v>516</v>
      </c>
      <c r="E144" s="0" t="s">
        <v>33</v>
      </c>
    </row>
    <row r="145" customFormat="false" ht="15" hidden="false" customHeight="false" outlineLevel="0" collapsed="false">
      <c r="A145" s="0" t="s">
        <v>541</v>
      </c>
      <c r="B145" s="0" t="s">
        <v>29</v>
      </c>
      <c r="C145" s="0" t="s">
        <v>543</v>
      </c>
      <c r="D145" s="0" t="s">
        <v>544</v>
      </c>
      <c r="E145" s="0" t="s">
        <v>33</v>
      </c>
    </row>
    <row r="146" customFormat="false" ht="15" hidden="false" customHeight="false" outlineLevel="0" collapsed="false">
      <c r="A146" s="0" t="s">
        <v>625</v>
      </c>
      <c r="B146" s="0" t="s">
        <v>29</v>
      </c>
      <c r="C146" s="0" t="s">
        <v>626</v>
      </c>
      <c r="D146" s="0" t="s">
        <v>627</v>
      </c>
      <c r="E146" s="0" t="s">
        <v>33</v>
      </c>
    </row>
    <row r="147" customFormat="false" ht="15" hidden="false" customHeight="false" outlineLevel="0" collapsed="false">
      <c r="A147" s="0" t="s">
        <v>644</v>
      </c>
      <c r="B147" s="0" t="s">
        <v>29</v>
      </c>
      <c r="C147" s="0" t="s">
        <v>645</v>
      </c>
      <c r="D147" s="0" t="s">
        <v>646</v>
      </c>
      <c r="E147" s="0" t="s">
        <v>33</v>
      </c>
    </row>
    <row r="148" customFormat="false" ht="15" hidden="false" customHeight="false" outlineLevel="0" collapsed="false">
      <c r="A148" s="0" t="s">
        <v>620</v>
      </c>
      <c r="B148" s="0" t="s">
        <v>29</v>
      </c>
      <c r="C148" s="0" t="s">
        <v>621</v>
      </c>
      <c r="D148" s="0" t="s">
        <v>622</v>
      </c>
      <c r="E148" s="0" t="s">
        <v>33</v>
      </c>
    </row>
    <row r="149" customFormat="false" ht="15" hidden="false" customHeight="false" outlineLevel="0" collapsed="false">
      <c r="A149" s="0" t="s">
        <v>855</v>
      </c>
      <c r="B149" s="0" t="s">
        <v>29</v>
      </c>
      <c r="C149" s="0" t="s">
        <v>856</v>
      </c>
      <c r="D149" s="0" t="s">
        <v>857</v>
      </c>
      <c r="E149" s="0" t="s">
        <v>33</v>
      </c>
    </row>
    <row r="150" customFormat="false" ht="15" hidden="false" customHeight="false" outlineLevel="0" collapsed="false">
      <c r="A150" s="0" t="s">
        <v>864</v>
      </c>
      <c r="B150" s="0" t="s">
        <v>29</v>
      </c>
      <c r="C150" s="0" t="s">
        <v>865</v>
      </c>
      <c r="D150" s="0" t="s">
        <v>866</v>
      </c>
      <c r="E150" s="0" t="s">
        <v>33</v>
      </c>
    </row>
    <row r="151" customFormat="false" ht="15" hidden="false" customHeight="false" outlineLevel="0" collapsed="false">
      <c r="A151" s="0" t="s">
        <v>498</v>
      </c>
      <c r="B151" s="0" t="s">
        <v>29</v>
      </c>
      <c r="C151" s="0" t="s">
        <v>372</v>
      </c>
      <c r="D151" s="0" t="s">
        <v>500</v>
      </c>
      <c r="E151" s="0" t="s">
        <v>33</v>
      </c>
    </row>
    <row r="152" customFormat="false" ht="15" hidden="false" customHeight="false" outlineLevel="0" collapsed="false">
      <c r="A152" s="0" t="s">
        <v>696</v>
      </c>
      <c r="B152" s="0" t="s">
        <v>29</v>
      </c>
      <c r="C152" s="0" t="s">
        <v>27</v>
      </c>
      <c r="D152" s="0" t="s">
        <v>697</v>
      </c>
      <c r="E152" s="0" t="s">
        <v>33</v>
      </c>
    </row>
    <row r="153" customFormat="false" ht="15" hidden="false" customHeight="false" outlineLevel="0" collapsed="false">
      <c r="A153" s="0" t="s">
        <v>996</v>
      </c>
      <c r="B153" s="0" t="s">
        <v>29</v>
      </c>
      <c r="C153" s="0" t="s">
        <v>998</v>
      </c>
      <c r="D153" s="0" t="s">
        <v>999</v>
      </c>
      <c r="E153" s="0" t="s">
        <v>33</v>
      </c>
    </row>
    <row r="154" customFormat="false" ht="15" hidden="false" customHeight="false" outlineLevel="0" collapsed="false">
      <c r="A154" s="0" t="s">
        <v>176</v>
      </c>
      <c r="B154" s="0" t="s">
        <v>52</v>
      </c>
      <c r="C154" s="0" t="s">
        <v>179</v>
      </c>
      <c r="D154" s="0" t="s">
        <v>180</v>
      </c>
      <c r="E154" s="0" t="s">
        <v>33</v>
      </c>
    </row>
    <row r="155" customFormat="false" ht="15" hidden="false" customHeight="false" outlineLevel="0" collapsed="false">
      <c r="A155" s="0" t="s">
        <v>1288</v>
      </c>
      <c r="B155" s="0" t="s">
        <v>29</v>
      </c>
      <c r="C155" s="0" t="s">
        <v>252</v>
      </c>
      <c r="D155" s="0" t="s">
        <v>1289</v>
      </c>
      <c r="E155" s="0" t="s">
        <v>33</v>
      </c>
    </row>
    <row r="156" customFormat="false" ht="15" hidden="false" customHeight="false" outlineLevel="0" collapsed="false">
      <c r="A156" s="0" t="s">
        <v>1164</v>
      </c>
      <c r="B156" s="0" t="s">
        <v>29</v>
      </c>
      <c r="C156" s="0" t="s">
        <v>27</v>
      </c>
      <c r="D156" s="0" t="s">
        <v>1165</v>
      </c>
      <c r="E156" s="0" t="s">
        <v>33</v>
      </c>
    </row>
    <row r="157" customFormat="false" ht="15" hidden="false" customHeight="false" outlineLevel="0" collapsed="false">
      <c r="A157" s="0" t="s">
        <v>147</v>
      </c>
      <c r="B157" s="0" t="s">
        <v>29</v>
      </c>
      <c r="C157" s="0" t="s">
        <v>149</v>
      </c>
      <c r="D157" s="0" t="s">
        <v>150</v>
      </c>
      <c r="E157" s="0" t="s">
        <v>33</v>
      </c>
    </row>
    <row r="158" customFormat="false" ht="15" hidden="false" customHeight="false" outlineLevel="0" collapsed="false">
      <c r="A158" s="0" t="s">
        <v>204</v>
      </c>
      <c r="B158" s="0" t="s">
        <v>29</v>
      </c>
      <c r="C158" s="0" t="s">
        <v>206</v>
      </c>
      <c r="D158" s="0" t="s">
        <v>207</v>
      </c>
      <c r="E158" s="0" t="s">
        <v>33</v>
      </c>
    </row>
    <row r="159" customFormat="false" ht="15" hidden="false" customHeight="false" outlineLevel="0" collapsed="false">
      <c r="A159" s="0" t="s">
        <v>1330</v>
      </c>
      <c r="B159" s="0" t="s">
        <v>29</v>
      </c>
      <c r="C159" s="0" t="s">
        <v>360</v>
      </c>
      <c r="D159" s="0" t="s">
        <v>1331</v>
      </c>
      <c r="E159" s="0" t="s">
        <v>33</v>
      </c>
    </row>
    <row r="160" customFormat="false" ht="15" hidden="false" customHeight="false" outlineLevel="0" collapsed="false">
      <c r="A160" s="0" t="s">
        <v>1298</v>
      </c>
      <c r="B160" s="0" t="s">
        <v>29</v>
      </c>
      <c r="C160" s="0" t="s">
        <v>1299</v>
      </c>
      <c r="D160" s="0" t="s">
        <v>1301</v>
      </c>
      <c r="E160" s="0" t="s">
        <v>33</v>
      </c>
    </row>
    <row r="161" customFormat="false" ht="15" hidden="false" customHeight="false" outlineLevel="0" collapsed="false">
      <c r="A161" s="0" t="s">
        <v>1345</v>
      </c>
      <c r="B161" s="0" t="s">
        <v>29</v>
      </c>
      <c r="C161" s="0" t="s">
        <v>219</v>
      </c>
      <c r="D161" s="0" t="s">
        <v>1346</v>
      </c>
      <c r="E161" s="0" t="s">
        <v>33</v>
      </c>
    </row>
    <row r="162" customFormat="false" ht="15" hidden="false" customHeight="false" outlineLevel="0" collapsed="false">
      <c r="A162" s="0" t="s">
        <v>1313</v>
      </c>
      <c r="B162" s="0" t="s">
        <v>52</v>
      </c>
      <c r="C162" s="0" t="s">
        <v>353</v>
      </c>
      <c r="D162" s="0" t="s">
        <v>539</v>
      </c>
      <c r="E162" s="0" t="s">
        <v>33</v>
      </c>
    </row>
    <row r="163" customFormat="false" ht="15" hidden="false" customHeight="false" outlineLevel="0" collapsed="false">
      <c r="A163" s="0" t="s">
        <v>803</v>
      </c>
      <c r="B163" s="0" t="s">
        <v>52</v>
      </c>
      <c r="C163" s="0" t="s">
        <v>678</v>
      </c>
      <c r="D163" s="0" t="s">
        <v>804</v>
      </c>
      <c r="E163" s="0" t="s">
        <v>33</v>
      </c>
    </row>
    <row r="164" customFormat="false" ht="15" hidden="false" customHeight="false" outlineLevel="0" collapsed="false">
      <c r="A164" s="0" t="s">
        <v>908</v>
      </c>
      <c r="B164" s="0" t="s">
        <v>52</v>
      </c>
      <c r="C164" s="0" t="s">
        <v>535</v>
      </c>
      <c r="D164" s="0" t="s">
        <v>909</v>
      </c>
      <c r="E164" s="0" t="s">
        <v>33</v>
      </c>
    </row>
    <row r="165" customFormat="false" ht="15" hidden="false" customHeight="false" outlineLevel="0" collapsed="false">
      <c r="A165" s="0" t="s">
        <v>924</v>
      </c>
      <c r="B165" s="0" t="s">
        <v>52</v>
      </c>
      <c r="C165" s="0" t="s">
        <v>405</v>
      </c>
      <c r="D165" s="0" t="s">
        <v>926</v>
      </c>
      <c r="E165" s="0" t="s">
        <v>33</v>
      </c>
    </row>
    <row r="166" customFormat="false" ht="15" hidden="false" customHeight="false" outlineLevel="0" collapsed="false">
      <c r="A166" s="0" t="s">
        <v>895</v>
      </c>
      <c r="B166" s="0" t="s">
        <v>52</v>
      </c>
      <c r="C166" s="0" t="s">
        <v>91</v>
      </c>
      <c r="D166" s="0" t="s">
        <v>93</v>
      </c>
      <c r="E166" s="0" t="s">
        <v>33</v>
      </c>
    </row>
    <row r="167" customFormat="false" ht="15" hidden="false" customHeight="false" outlineLevel="0" collapsed="false">
      <c r="A167" s="0" t="s">
        <v>1319</v>
      </c>
      <c r="B167" s="0" t="s">
        <v>52</v>
      </c>
      <c r="C167" s="0" t="s">
        <v>447</v>
      </c>
      <c r="D167" s="0" t="s">
        <v>1320</v>
      </c>
      <c r="E167" s="0" t="s">
        <v>33</v>
      </c>
    </row>
    <row r="168" customFormat="false" ht="15" hidden="false" customHeight="false" outlineLevel="0" collapsed="false">
      <c r="A168" s="0" t="s">
        <v>520</v>
      </c>
      <c r="B168" s="0" t="s">
        <v>29</v>
      </c>
      <c r="C168" s="0" t="s">
        <v>412</v>
      </c>
      <c r="D168" s="0" t="s">
        <v>522</v>
      </c>
      <c r="E168" s="0" t="s">
        <v>33</v>
      </c>
    </row>
    <row r="169" customFormat="false" ht="15" hidden="false" customHeight="false" outlineLevel="0" collapsed="false">
      <c r="A169" s="0" t="s">
        <v>1050</v>
      </c>
      <c r="B169" s="0" t="s">
        <v>29</v>
      </c>
      <c r="C169" s="0" t="s">
        <v>1051</v>
      </c>
      <c r="D169" s="0" t="s">
        <v>1053</v>
      </c>
      <c r="E169" s="0" t="s">
        <v>33</v>
      </c>
    </row>
    <row r="170" customFormat="false" ht="15" hidden="false" customHeight="false" outlineLevel="0" collapsed="false">
      <c r="A170" s="0" t="s">
        <v>1109</v>
      </c>
      <c r="B170" s="0" t="s">
        <v>29</v>
      </c>
      <c r="C170" s="0" t="s">
        <v>1110</v>
      </c>
      <c r="D170" s="0" t="s">
        <v>1111</v>
      </c>
      <c r="E170" s="0" t="s">
        <v>33</v>
      </c>
    </row>
    <row r="171" customFormat="false" ht="15" hidden="false" customHeight="false" outlineLevel="0" collapsed="false">
      <c r="A171" s="0" t="s">
        <v>900</v>
      </c>
      <c r="B171" s="0" t="s">
        <v>52</v>
      </c>
      <c r="C171" s="0" t="s">
        <v>282</v>
      </c>
      <c r="D171" s="0" t="s">
        <v>901</v>
      </c>
      <c r="E171" s="0" t="s">
        <v>33</v>
      </c>
    </row>
    <row r="172" customFormat="false" ht="15" hidden="false" customHeight="false" outlineLevel="0" collapsed="false">
      <c r="A172" s="0" t="s">
        <v>665</v>
      </c>
      <c r="B172" s="0" t="s">
        <v>52</v>
      </c>
      <c r="C172" s="0" t="s">
        <v>666</v>
      </c>
      <c r="D172" s="0" t="s">
        <v>668</v>
      </c>
      <c r="E172" s="0" t="s">
        <v>33</v>
      </c>
    </row>
    <row r="173" customFormat="false" ht="15" hidden="false" customHeight="false" outlineLevel="0" collapsed="false">
      <c r="A173" s="0" t="s">
        <v>737</v>
      </c>
      <c r="B173" s="0" t="s">
        <v>52</v>
      </c>
      <c r="C173" s="0" t="s">
        <v>566</v>
      </c>
      <c r="D173" s="0" t="s">
        <v>738</v>
      </c>
      <c r="E173" s="0" t="s">
        <v>33</v>
      </c>
    </row>
    <row r="174" customFormat="false" ht="15" hidden="false" customHeight="false" outlineLevel="0" collapsed="false">
      <c r="A174" s="0" t="s">
        <v>556</v>
      </c>
      <c r="B174" s="0" t="s">
        <v>52</v>
      </c>
      <c r="C174" s="0" t="s">
        <v>557</v>
      </c>
      <c r="D174" s="0" t="s">
        <v>558</v>
      </c>
      <c r="E174" s="0" t="s">
        <v>33</v>
      </c>
    </row>
    <row r="175" customFormat="false" ht="15" hidden="false" customHeight="false" outlineLevel="0" collapsed="false">
      <c r="A175" s="0" t="s">
        <v>1228</v>
      </c>
      <c r="B175" s="0" t="s">
        <v>52</v>
      </c>
      <c r="C175" s="0" t="s">
        <v>557</v>
      </c>
      <c r="D175" s="0" t="s">
        <v>1229</v>
      </c>
      <c r="E175" s="0" t="s">
        <v>33</v>
      </c>
    </row>
    <row r="176" customFormat="false" ht="15" hidden="false" customHeight="false" outlineLevel="0" collapsed="false">
      <c r="A176" s="0" t="s">
        <v>1187</v>
      </c>
      <c r="B176" s="0" t="s">
        <v>52</v>
      </c>
      <c r="C176" s="0" t="s">
        <v>282</v>
      </c>
      <c r="D176" s="0" t="s">
        <v>1188</v>
      </c>
      <c r="E176" s="0" t="s">
        <v>33</v>
      </c>
    </row>
    <row r="177" customFormat="false" ht="15" hidden="false" customHeight="false" outlineLevel="0" collapsed="false">
      <c r="A177" s="0" t="s">
        <v>1209</v>
      </c>
      <c r="B177" s="0" t="s">
        <v>52</v>
      </c>
      <c r="C177" s="0" t="s">
        <v>282</v>
      </c>
      <c r="D177" s="0" t="s">
        <v>1210</v>
      </c>
      <c r="E177" s="0" t="s">
        <v>33</v>
      </c>
    </row>
    <row r="178" customFormat="false" ht="15" hidden="false" customHeight="false" outlineLevel="0" collapsed="false">
      <c r="A178" s="0" t="s">
        <v>691</v>
      </c>
      <c r="B178" s="0" t="s">
        <v>52</v>
      </c>
      <c r="C178" s="0" t="s">
        <v>218</v>
      </c>
      <c r="D178" s="0" t="s">
        <v>692</v>
      </c>
      <c r="E178" s="0" t="s">
        <v>33</v>
      </c>
    </row>
    <row r="179" customFormat="false" ht="15" hidden="false" customHeight="false" outlineLevel="0" collapsed="false">
      <c r="A179" s="0" t="s">
        <v>868</v>
      </c>
      <c r="B179" s="0" t="s">
        <v>52</v>
      </c>
      <c r="C179" s="0" t="s">
        <v>218</v>
      </c>
      <c r="D179" s="0" t="s">
        <v>870</v>
      </c>
      <c r="E179" s="0" t="s">
        <v>33</v>
      </c>
    </row>
    <row r="180" customFormat="false" ht="15" hidden="false" customHeight="false" outlineLevel="0" collapsed="false">
      <c r="A180" s="0" t="s">
        <v>807</v>
      </c>
      <c r="B180" s="0" t="s">
        <v>52</v>
      </c>
      <c r="C180" s="0" t="s">
        <v>73</v>
      </c>
      <c r="D180" s="0" t="s">
        <v>808</v>
      </c>
      <c r="E180" s="0" t="s">
        <v>33</v>
      </c>
    </row>
    <row r="181" customFormat="false" ht="15" hidden="false" customHeight="false" outlineLevel="0" collapsed="false">
      <c r="A181" s="0" t="s">
        <v>751</v>
      </c>
      <c r="B181" s="0" t="s">
        <v>52</v>
      </c>
      <c r="C181" s="0" t="s">
        <v>752</v>
      </c>
      <c r="D181" s="0" t="s">
        <v>753</v>
      </c>
      <c r="E181" s="0" t="s">
        <v>33</v>
      </c>
    </row>
    <row r="182" customFormat="false" ht="15" hidden="false" customHeight="false" outlineLevel="0" collapsed="false">
      <c r="A182" s="0" t="s">
        <v>419</v>
      </c>
      <c r="B182" s="0" t="s">
        <v>52</v>
      </c>
      <c r="C182" s="0" t="s">
        <v>420</v>
      </c>
      <c r="D182" s="0" t="s">
        <v>421</v>
      </c>
      <c r="E182" s="0" t="s">
        <v>33</v>
      </c>
    </row>
    <row r="183" customFormat="false" ht="15" hidden="false" customHeight="false" outlineLevel="0" collapsed="false">
      <c r="A183" s="0" t="s">
        <v>1132</v>
      </c>
      <c r="B183" s="0" t="s">
        <v>52</v>
      </c>
      <c r="C183" s="0" t="s">
        <v>334</v>
      </c>
      <c r="D183" s="0" t="s">
        <v>1133</v>
      </c>
      <c r="E183" s="0" t="s">
        <v>33</v>
      </c>
    </row>
    <row r="184" customFormat="false" ht="15" hidden="false" customHeight="false" outlineLevel="0" collapsed="false">
      <c r="A184" s="0" t="s">
        <v>47</v>
      </c>
      <c r="B184" s="0" t="s">
        <v>52</v>
      </c>
      <c r="C184" s="0" t="s">
        <v>39</v>
      </c>
      <c r="D184" s="0" t="s">
        <v>54</v>
      </c>
      <c r="E184" s="0" t="s">
        <v>33</v>
      </c>
    </row>
    <row r="185" customFormat="false" ht="15" hidden="false" customHeight="false" outlineLevel="0" collapsed="false">
      <c r="A185" s="0" t="s">
        <v>588</v>
      </c>
      <c r="B185" s="0" t="s">
        <v>52</v>
      </c>
      <c r="C185" s="0" t="s">
        <v>218</v>
      </c>
      <c r="D185" s="0" t="s">
        <v>589</v>
      </c>
      <c r="E185" s="0" t="s">
        <v>33</v>
      </c>
    </row>
    <row r="186" customFormat="false" ht="15" hidden="false" customHeight="false" outlineLevel="0" collapsed="false">
      <c r="A186" s="0" t="s">
        <v>840</v>
      </c>
      <c r="B186" s="0" t="s">
        <v>29</v>
      </c>
      <c r="C186" s="0" t="s">
        <v>200</v>
      </c>
      <c r="D186" s="0" t="s">
        <v>841</v>
      </c>
      <c r="E186" s="0" t="s">
        <v>33</v>
      </c>
    </row>
    <row r="187" customFormat="false" ht="15" hidden="false" customHeight="false" outlineLevel="0" collapsed="false">
      <c r="A187" s="0" t="s">
        <v>1386</v>
      </c>
      <c r="B187" s="0" t="s">
        <v>52</v>
      </c>
      <c r="C187" s="0" t="s">
        <v>331</v>
      </c>
      <c r="D187" s="0" t="s">
        <v>1387</v>
      </c>
      <c r="E187" s="0" t="s">
        <v>33</v>
      </c>
    </row>
    <row r="188" customFormat="false" ht="15" hidden="false" customHeight="false" outlineLevel="0" collapsed="false">
      <c r="A188" s="0" t="s">
        <v>1261</v>
      </c>
      <c r="B188" s="0" t="s">
        <v>52</v>
      </c>
      <c r="C188" s="0" t="s">
        <v>321</v>
      </c>
      <c r="D188" s="0" t="s">
        <v>1262</v>
      </c>
      <c r="E188" s="0" t="s">
        <v>33</v>
      </c>
    </row>
    <row r="189" customFormat="false" ht="15" hidden="false" customHeight="false" outlineLevel="0" collapsed="false">
      <c r="A189" s="0" t="s">
        <v>591</v>
      </c>
      <c r="B189" s="0" t="s">
        <v>52</v>
      </c>
      <c r="C189" s="0" t="s">
        <v>321</v>
      </c>
      <c r="D189" s="0" t="s">
        <v>592</v>
      </c>
      <c r="E189" s="0" t="s">
        <v>33</v>
      </c>
    </row>
    <row r="190" customFormat="false" ht="15" hidden="false" customHeight="false" outlineLevel="0" collapsed="false">
      <c r="A190" s="0" t="s">
        <v>992</v>
      </c>
      <c r="B190" s="0" t="s">
        <v>52</v>
      </c>
      <c r="C190" s="0" t="s">
        <v>993</v>
      </c>
      <c r="D190" s="0" t="s">
        <v>994</v>
      </c>
      <c r="E190" s="0" t="s">
        <v>33</v>
      </c>
    </row>
    <row r="191" customFormat="false" ht="15" hidden="false" customHeight="false" outlineLevel="0" collapsed="false">
      <c r="A191" s="0" t="s">
        <v>1304</v>
      </c>
      <c r="B191" s="0" t="s">
        <v>52</v>
      </c>
      <c r="C191" s="0" t="s">
        <v>199</v>
      </c>
      <c r="D191" s="0" t="s">
        <v>1306</v>
      </c>
      <c r="E191" s="0" t="s">
        <v>33</v>
      </c>
    </row>
    <row r="192" customFormat="false" ht="15" hidden="false" customHeight="false" outlineLevel="0" collapsed="false">
      <c r="A192" s="0" t="s">
        <v>1154</v>
      </c>
      <c r="B192" s="0" t="s">
        <v>52</v>
      </c>
      <c r="C192" s="0" t="s">
        <v>920</v>
      </c>
      <c r="D192" s="0" t="s">
        <v>1155</v>
      </c>
      <c r="E192" s="0" t="s">
        <v>33</v>
      </c>
    </row>
    <row r="193" customFormat="false" ht="15" hidden="false" customHeight="false" outlineLevel="0" collapsed="false">
      <c r="A193" s="0" t="s">
        <v>799</v>
      </c>
      <c r="B193" s="0" t="s">
        <v>52</v>
      </c>
      <c r="C193" s="0" t="s">
        <v>179</v>
      </c>
      <c r="D193" s="0" t="s">
        <v>180</v>
      </c>
      <c r="E193" s="0" t="s">
        <v>33</v>
      </c>
    </row>
    <row r="194" customFormat="false" ht="15" hidden="false" customHeight="false" outlineLevel="0" collapsed="false">
      <c r="A194" s="0" t="s">
        <v>1066</v>
      </c>
      <c r="B194" s="0" t="s">
        <v>52</v>
      </c>
      <c r="C194" s="0" t="s">
        <v>1067</v>
      </c>
      <c r="D194" s="0" t="s">
        <v>1068</v>
      </c>
      <c r="E194" s="0" t="s">
        <v>33</v>
      </c>
    </row>
    <row r="195" customFormat="false" ht="15" hidden="false" customHeight="false" outlineLevel="0" collapsed="false">
      <c r="A195" s="0" t="s">
        <v>104</v>
      </c>
      <c r="B195" s="0" t="s">
        <v>52</v>
      </c>
      <c r="C195" s="0" t="s">
        <v>105</v>
      </c>
      <c r="D195" s="0" t="s">
        <v>106</v>
      </c>
      <c r="E195" s="0" t="s">
        <v>33</v>
      </c>
    </row>
    <row r="196" customFormat="false" ht="15" hidden="false" customHeight="false" outlineLevel="0" collapsed="false">
      <c r="A196" s="0" t="s">
        <v>1174</v>
      </c>
      <c r="B196" s="0" t="s">
        <v>52</v>
      </c>
      <c r="C196" s="0" t="s">
        <v>1064</v>
      </c>
      <c r="D196" s="0" t="s">
        <v>1175</v>
      </c>
      <c r="E196" s="0" t="s">
        <v>33</v>
      </c>
    </row>
    <row r="197" customFormat="false" ht="15" hidden="false" customHeight="false" outlineLevel="0" collapsed="false">
      <c r="A197" s="0" t="s">
        <v>311</v>
      </c>
      <c r="B197" s="0" t="s">
        <v>52</v>
      </c>
      <c r="C197" s="0" t="s">
        <v>266</v>
      </c>
      <c r="D197" s="0" t="s">
        <v>312</v>
      </c>
      <c r="E197" s="0" t="s">
        <v>33</v>
      </c>
    </row>
    <row r="198" customFormat="false" ht="15" hidden="false" customHeight="false" outlineLevel="0" collapsed="false">
      <c r="A198" s="0" t="s">
        <v>970</v>
      </c>
      <c r="B198" s="0" t="s">
        <v>52</v>
      </c>
      <c r="C198" s="0" t="s">
        <v>630</v>
      </c>
      <c r="D198" s="0" t="s">
        <v>760</v>
      </c>
      <c r="E198" s="0" t="s">
        <v>33</v>
      </c>
    </row>
    <row r="199" customFormat="false" ht="15" hidden="false" customHeight="false" outlineLevel="0" collapsed="false">
      <c r="A199" s="0" t="s">
        <v>758</v>
      </c>
      <c r="B199" s="0" t="s">
        <v>52</v>
      </c>
      <c r="C199" s="0" t="s">
        <v>630</v>
      </c>
      <c r="D199" s="0" t="s">
        <v>760</v>
      </c>
      <c r="E199" s="0" t="s">
        <v>33</v>
      </c>
    </row>
    <row r="200" customFormat="false" ht="15" hidden="false" customHeight="false" outlineLevel="0" collapsed="false">
      <c r="A200" s="0" t="s">
        <v>834</v>
      </c>
      <c r="B200" s="0" t="s">
        <v>52</v>
      </c>
      <c r="C200" s="0" t="s">
        <v>835</v>
      </c>
      <c r="D200" s="0" t="s">
        <v>836</v>
      </c>
      <c r="E200" s="0" t="s">
        <v>33</v>
      </c>
    </row>
    <row r="201" customFormat="false" ht="15" hidden="false" customHeight="false" outlineLevel="0" collapsed="false">
      <c r="A201" s="0" t="s">
        <v>457</v>
      </c>
      <c r="B201" s="0" t="s">
        <v>52</v>
      </c>
      <c r="C201" s="0" t="s">
        <v>309</v>
      </c>
      <c r="D201" s="0" t="s">
        <v>458</v>
      </c>
      <c r="E201" s="0" t="s">
        <v>33</v>
      </c>
    </row>
    <row r="202" customFormat="false" ht="15" hidden="false" customHeight="false" outlineLevel="0" collapsed="false">
      <c r="A202" s="0" t="s">
        <v>1399</v>
      </c>
      <c r="B202" s="0" t="s">
        <v>52</v>
      </c>
      <c r="C202" s="0" t="s">
        <v>315</v>
      </c>
      <c r="D202" s="0" t="s">
        <v>1400</v>
      </c>
      <c r="E202" s="0" t="s">
        <v>33</v>
      </c>
    </row>
    <row r="203" customFormat="false" ht="15" hidden="false" customHeight="false" outlineLevel="0" collapsed="false">
      <c r="A203" s="0" t="s">
        <v>1129</v>
      </c>
      <c r="B203" s="0" t="s">
        <v>52</v>
      </c>
      <c r="C203" s="0" t="s">
        <v>357</v>
      </c>
      <c r="D203" s="0" t="s">
        <v>1130</v>
      </c>
      <c r="E203" s="0" t="s">
        <v>33</v>
      </c>
    </row>
    <row r="204" customFormat="false" ht="15" hidden="false" customHeight="false" outlineLevel="0" collapsed="false">
      <c r="A204" s="0" t="s">
        <v>314</v>
      </c>
      <c r="B204" s="0" t="s">
        <v>52</v>
      </c>
      <c r="C204" s="0" t="s">
        <v>315</v>
      </c>
      <c r="D204" s="0" t="s">
        <v>316</v>
      </c>
      <c r="E204" s="0" t="s">
        <v>33</v>
      </c>
    </row>
    <row r="205" customFormat="false" ht="15" hidden="false" customHeight="false" outlineLevel="0" collapsed="false">
      <c r="A205" s="0" t="s">
        <v>493</v>
      </c>
      <c r="B205" s="0" t="s">
        <v>52</v>
      </c>
      <c r="C205" s="0" t="s">
        <v>494</v>
      </c>
      <c r="D205" s="0" t="s">
        <v>495</v>
      </c>
      <c r="E205" s="0" t="s">
        <v>33</v>
      </c>
    </row>
    <row r="206" customFormat="false" ht="15" hidden="false" customHeight="false" outlineLevel="0" collapsed="false">
      <c r="A206" s="0" t="s">
        <v>658</v>
      </c>
      <c r="B206" s="0" t="s">
        <v>52</v>
      </c>
      <c r="C206" s="0" t="s">
        <v>234</v>
      </c>
      <c r="D206" s="0" t="s">
        <v>659</v>
      </c>
      <c r="E206" s="0" t="s">
        <v>33</v>
      </c>
    </row>
    <row r="207" customFormat="false" ht="15" hidden="false" customHeight="false" outlineLevel="0" collapsed="false">
      <c r="A207" s="0" t="s">
        <v>1057</v>
      </c>
      <c r="B207" s="0" t="s">
        <v>52</v>
      </c>
      <c r="C207" s="0" t="s">
        <v>357</v>
      </c>
      <c r="D207" s="0" t="s">
        <v>722</v>
      </c>
      <c r="E207" s="0" t="s">
        <v>33</v>
      </c>
    </row>
    <row r="208" customFormat="false" ht="15" hidden="false" customHeight="false" outlineLevel="0" collapsed="false">
      <c r="A208" s="0" t="s">
        <v>365</v>
      </c>
      <c r="B208" s="0" t="s">
        <v>52</v>
      </c>
      <c r="C208" s="0" t="s">
        <v>366</v>
      </c>
      <c r="D208" s="0" t="s">
        <v>367</v>
      </c>
      <c r="E208" s="0" t="s">
        <v>33</v>
      </c>
    </row>
    <row r="209" customFormat="false" ht="15" hidden="false" customHeight="false" outlineLevel="0" collapsed="false">
      <c r="A209" s="0" t="s">
        <v>1113</v>
      </c>
      <c r="B209" s="0" t="s">
        <v>52</v>
      </c>
      <c r="C209" s="0" t="s">
        <v>81</v>
      </c>
      <c r="D209" s="0" t="s">
        <v>225</v>
      </c>
      <c r="E209" s="0" t="s">
        <v>33</v>
      </c>
    </row>
    <row r="210" customFormat="false" ht="15" hidden="false" customHeight="false" outlineLevel="0" collapsed="false">
      <c r="A210" s="0" t="s">
        <v>905</v>
      </c>
      <c r="B210" s="0" t="s">
        <v>52</v>
      </c>
      <c r="C210" s="0" t="s">
        <v>485</v>
      </c>
      <c r="D210" s="0" t="s">
        <v>906</v>
      </c>
      <c r="E210" s="0" t="s">
        <v>33</v>
      </c>
    </row>
    <row r="211" customFormat="false" ht="15" hidden="false" customHeight="false" outlineLevel="0" collapsed="false">
      <c r="A211" s="0" t="s">
        <v>1035</v>
      </c>
      <c r="B211" s="0" t="s">
        <v>52</v>
      </c>
      <c r="C211" s="0" t="s">
        <v>136</v>
      </c>
      <c r="D211" s="0" t="s">
        <v>1037</v>
      </c>
      <c r="E211" s="0" t="s">
        <v>33</v>
      </c>
    </row>
    <row r="212" customFormat="false" ht="15" hidden="false" customHeight="false" outlineLevel="0" collapsed="false">
      <c r="A212" s="0" t="s">
        <v>720</v>
      </c>
      <c r="B212" s="0" t="s">
        <v>52</v>
      </c>
      <c r="C212" s="0" t="s">
        <v>357</v>
      </c>
      <c r="D212" s="0" t="s">
        <v>722</v>
      </c>
      <c r="E212" s="0" t="s">
        <v>33</v>
      </c>
    </row>
    <row r="213" customFormat="false" ht="15" hidden="false" customHeight="false" outlineLevel="0" collapsed="false">
      <c r="A213" s="0" t="s">
        <v>1197</v>
      </c>
      <c r="B213" s="0" t="s">
        <v>29</v>
      </c>
      <c r="C213" s="0" t="s">
        <v>252</v>
      </c>
      <c r="D213" s="0" t="s">
        <v>1198</v>
      </c>
      <c r="E213" s="0" t="s">
        <v>33</v>
      </c>
    </row>
    <row r="214" customFormat="false" ht="15" hidden="false" customHeight="false" outlineLevel="0" collapsed="false">
      <c r="A214" s="0" t="s">
        <v>1366</v>
      </c>
      <c r="B214" s="0" t="s">
        <v>29</v>
      </c>
      <c r="C214" s="0" t="s">
        <v>1367</v>
      </c>
      <c r="D214" s="0" t="s">
        <v>1368</v>
      </c>
      <c r="E214" s="0" t="s">
        <v>33</v>
      </c>
    </row>
    <row r="215" customFormat="false" ht="15" hidden="false" customHeight="false" outlineLevel="0" collapsed="false">
      <c r="A215" s="0" t="s">
        <v>784</v>
      </c>
      <c r="B215" s="0" t="s">
        <v>29</v>
      </c>
      <c r="C215" s="0" t="s">
        <v>785</v>
      </c>
      <c r="D215" s="0" t="s">
        <v>786</v>
      </c>
      <c r="E215" s="0" t="s">
        <v>33</v>
      </c>
    </row>
    <row r="216" customFormat="false" ht="15" hidden="false" customHeight="false" outlineLevel="0" collapsed="false">
      <c r="A216" s="0" t="s">
        <v>768</v>
      </c>
      <c r="B216" s="0" t="s">
        <v>52</v>
      </c>
      <c r="C216" s="0" t="s">
        <v>769</v>
      </c>
      <c r="D216" s="0" t="s">
        <v>770</v>
      </c>
      <c r="E216" s="0" t="s">
        <v>33</v>
      </c>
    </row>
    <row r="217" customFormat="false" ht="15" hidden="false" customHeight="false" outlineLevel="0" collapsed="false">
      <c r="A217" s="0" t="s">
        <v>72</v>
      </c>
      <c r="B217" s="0" t="s">
        <v>29</v>
      </c>
      <c r="C217" s="0" t="s">
        <v>75</v>
      </c>
      <c r="D217" s="0" t="s">
        <v>77</v>
      </c>
      <c r="E217" s="0" t="s">
        <v>33</v>
      </c>
    </row>
    <row r="218" customFormat="false" ht="15" hidden="false" customHeight="false" outlineLevel="0" collapsed="false">
      <c r="A218" s="0" t="s">
        <v>793</v>
      </c>
      <c r="B218" s="0" t="s">
        <v>29</v>
      </c>
      <c r="C218" s="0" t="s">
        <v>515</v>
      </c>
      <c r="D218" s="0" t="s">
        <v>796</v>
      </c>
      <c r="E218" s="0" t="s">
        <v>33</v>
      </c>
    </row>
    <row r="219" customFormat="false" ht="15" hidden="false" customHeight="false" outlineLevel="0" collapsed="false">
      <c r="A219" s="0" t="s">
        <v>333</v>
      </c>
      <c r="B219" s="0" t="s">
        <v>52</v>
      </c>
      <c r="C219" s="0" t="s">
        <v>334</v>
      </c>
      <c r="D219" s="0" t="s">
        <v>336</v>
      </c>
      <c r="E219" s="0" t="s">
        <v>33</v>
      </c>
    </row>
    <row r="220" customFormat="false" ht="15" hidden="false" customHeight="false" outlineLevel="0" collapsed="false">
      <c r="A220" s="0" t="s">
        <v>162</v>
      </c>
      <c r="B220" s="0" t="s">
        <v>52</v>
      </c>
      <c r="C220" s="0" t="s">
        <v>163</v>
      </c>
      <c r="D220" s="0" t="s">
        <v>164</v>
      </c>
      <c r="E220" s="0" t="s">
        <v>33</v>
      </c>
    </row>
    <row r="221" customFormat="false" ht="15" hidden="false" customHeight="false" outlineLevel="0" collapsed="false">
      <c r="A221" s="0" t="s">
        <v>1182</v>
      </c>
      <c r="B221" s="0" t="s">
        <v>52</v>
      </c>
      <c r="C221" s="0" t="s">
        <v>800</v>
      </c>
      <c r="D221" s="0" t="s">
        <v>1184</v>
      </c>
      <c r="E221" s="0" t="s">
        <v>33</v>
      </c>
    </row>
    <row r="222" customFormat="false" ht="15" hidden="false" customHeight="false" outlineLevel="0" collapsed="false">
      <c r="A222" s="0" t="s">
        <v>1006</v>
      </c>
      <c r="B222" s="0" t="s">
        <v>52</v>
      </c>
      <c r="C222" s="0" t="s">
        <v>630</v>
      </c>
      <c r="D222" s="0" t="s">
        <v>760</v>
      </c>
      <c r="E222" s="0" t="s">
        <v>33</v>
      </c>
    </row>
    <row r="223" customFormat="false" ht="15" hidden="false" customHeight="false" outlineLevel="0" collapsed="false">
      <c r="A223" s="0" t="s">
        <v>37</v>
      </c>
      <c r="B223" s="0" t="s">
        <v>42</v>
      </c>
      <c r="C223" s="0" t="s">
        <v>40</v>
      </c>
      <c r="D223" s="0" t="s">
        <v>44</v>
      </c>
      <c r="E223" s="0" t="s">
        <v>33</v>
      </c>
    </row>
    <row r="224" customFormat="false" ht="15" hidden="false" customHeight="false" outlineLevel="0" collapsed="false">
      <c r="A224" s="0" t="s">
        <v>80</v>
      </c>
      <c r="B224" s="0" t="s">
        <v>42</v>
      </c>
      <c r="C224" s="0" t="s">
        <v>40</v>
      </c>
      <c r="D224" s="0" t="s">
        <v>44</v>
      </c>
      <c r="E224" s="0" t="s">
        <v>33</v>
      </c>
    </row>
    <row r="225" customFormat="false" ht="15" hidden="false" customHeight="false" outlineLevel="0" collapsed="false">
      <c r="A225" s="0" t="s">
        <v>291</v>
      </c>
      <c r="B225" s="0" t="s">
        <v>42</v>
      </c>
      <c r="C225" s="0" t="s">
        <v>292</v>
      </c>
      <c r="D225" s="0" t="s">
        <v>293</v>
      </c>
      <c r="E225" s="0" t="s">
        <v>33</v>
      </c>
    </row>
    <row r="226" customFormat="false" ht="15" hidden="false" customHeight="false" outlineLevel="0" collapsed="false">
      <c r="A226" s="0" t="s">
        <v>269</v>
      </c>
      <c r="B226" s="0" t="s">
        <v>42</v>
      </c>
      <c r="C226" s="0" t="s">
        <v>272</v>
      </c>
      <c r="D226" s="0" t="s">
        <v>273</v>
      </c>
      <c r="E226" s="0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3" t="s">
        <v>0</v>
      </c>
      <c r="B1" s="13" t="s">
        <v>1460</v>
      </c>
      <c r="C1" s="13" t="s">
        <v>7</v>
      </c>
      <c r="D1" s="13" t="s">
        <v>1457</v>
      </c>
      <c r="E1" s="13" t="s">
        <v>9</v>
      </c>
      <c r="F1" s="13" t="s">
        <v>1461</v>
      </c>
      <c r="G1" s="13" t="s">
        <v>1458</v>
      </c>
    </row>
    <row r="2" customFormat="false" ht="15" hidden="false" customHeight="false" outlineLevel="0" collapsed="false">
      <c r="A2" s="0" t="s">
        <v>72</v>
      </c>
      <c r="B2" s="0" t="n">
        <v>7</v>
      </c>
      <c r="C2" s="0" t="s">
        <v>26</v>
      </c>
      <c r="D2" s="0" t="s">
        <v>75</v>
      </c>
      <c r="E2" s="0" t="s">
        <v>76</v>
      </c>
      <c r="F2" s="0" t="s">
        <v>29</v>
      </c>
      <c r="G2" s="0" t="s">
        <v>77</v>
      </c>
    </row>
    <row r="3" customFormat="false" ht="15" hidden="false" customHeight="false" outlineLevel="0" collapsed="false">
      <c r="A3" s="0" t="s">
        <v>793</v>
      </c>
      <c r="B3" s="0" t="n">
        <v>201</v>
      </c>
      <c r="C3" s="0" t="s">
        <v>26</v>
      </c>
      <c r="D3" s="0" t="s">
        <v>515</v>
      </c>
      <c r="E3" s="0" t="s">
        <v>76</v>
      </c>
      <c r="F3" s="0" t="s">
        <v>29</v>
      </c>
      <c r="G3" s="0" t="s">
        <v>796</v>
      </c>
    </row>
    <row r="4" customFormat="false" ht="15" hidden="false" customHeight="false" outlineLevel="0" collapsed="false">
      <c r="A4" s="0" t="s">
        <v>333</v>
      </c>
      <c r="B4" s="0" t="n">
        <v>65</v>
      </c>
      <c r="C4" s="0" t="s">
        <v>25</v>
      </c>
      <c r="D4" s="0" t="s">
        <v>334</v>
      </c>
      <c r="E4" s="0" t="s">
        <v>51</v>
      </c>
      <c r="F4" s="0" t="s">
        <v>52</v>
      </c>
      <c r="G4" s="0" t="s">
        <v>336</v>
      </c>
    </row>
    <row r="5" customFormat="false" ht="15" hidden="false" customHeight="false" outlineLevel="0" collapsed="false">
      <c r="A5" s="0" t="s">
        <v>162</v>
      </c>
      <c r="B5" s="0" t="n">
        <v>25</v>
      </c>
      <c r="C5" s="0" t="s">
        <v>25</v>
      </c>
      <c r="D5" s="0" t="s">
        <v>163</v>
      </c>
      <c r="E5" s="0" t="s">
        <v>51</v>
      </c>
      <c r="F5" s="0" t="s">
        <v>52</v>
      </c>
      <c r="G5" s="0" t="s">
        <v>164</v>
      </c>
    </row>
    <row r="6" customFormat="false" ht="15" hidden="false" customHeight="false" outlineLevel="0" collapsed="false">
      <c r="A6" s="0" t="s">
        <v>1182</v>
      </c>
      <c r="B6" s="0" t="n">
        <v>342</v>
      </c>
      <c r="C6" s="0" t="s">
        <v>25</v>
      </c>
      <c r="D6" s="0" t="s">
        <v>800</v>
      </c>
      <c r="E6" s="0" t="s">
        <v>51</v>
      </c>
      <c r="F6" s="0" t="s">
        <v>52</v>
      </c>
      <c r="G6" s="0" t="s">
        <v>1184</v>
      </c>
    </row>
    <row r="7" customFormat="false" ht="15" hidden="false" customHeight="false" outlineLevel="0" collapsed="false">
      <c r="A7" s="0" t="s">
        <v>1006</v>
      </c>
      <c r="B7" s="0" t="n">
        <v>273</v>
      </c>
      <c r="C7" s="0" t="s">
        <v>25</v>
      </c>
      <c r="D7" s="0" t="s">
        <v>630</v>
      </c>
      <c r="E7" s="0" t="s">
        <v>51</v>
      </c>
      <c r="F7" s="0" t="s">
        <v>52</v>
      </c>
      <c r="G7" s="0" t="s">
        <v>760</v>
      </c>
    </row>
    <row r="8" customFormat="false" ht="15" hidden="false" customHeight="false" outlineLevel="0" collapsed="false">
      <c r="A8" s="0" t="s">
        <v>37</v>
      </c>
      <c r="B8" s="0" t="n">
        <v>3</v>
      </c>
      <c r="C8" s="0" t="s">
        <v>25</v>
      </c>
      <c r="D8" s="0" t="s">
        <v>40</v>
      </c>
      <c r="E8" s="0" t="s">
        <v>41</v>
      </c>
      <c r="F8" s="0" t="s">
        <v>42</v>
      </c>
      <c r="G8" s="0" t="s">
        <v>44</v>
      </c>
    </row>
    <row r="9" customFormat="false" ht="15" hidden="false" customHeight="false" outlineLevel="0" collapsed="false">
      <c r="A9" s="0" t="s">
        <v>80</v>
      </c>
      <c r="B9" s="0" t="n">
        <v>8</v>
      </c>
      <c r="C9" s="0" t="s">
        <v>25</v>
      </c>
      <c r="D9" s="0" t="s">
        <v>40</v>
      </c>
      <c r="E9" s="0" t="s">
        <v>41</v>
      </c>
      <c r="F9" s="0" t="s">
        <v>42</v>
      </c>
      <c r="G9" s="0" t="s">
        <v>44</v>
      </c>
    </row>
    <row r="10" customFormat="false" ht="15" hidden="false" customHeight="false" outlineLevel="0" collapsed="false">
      <c r="A10" s="0" t="s">
        <v>291</v>
      </c>
      <c r="B10" s="0" t="n">
        <v>54</v>
      </c>
      <c r="C10" s="0" t="s">
        <v>25</v>
      </c>
      <c r="D10" s="0" t="s">
        <v>292</v>
      </c>
      <c r="E10" s="0" t="s">
        <v>41</v>
      </c>
      <c r="F10" s="0" t="s">
        <v>42</v>
      </c>
      <c r="G10" s="0" t="s">
        <v>293</v>
      </c>
    </row>
    <row r="11" customFormat="false" ht="15" hidden="false" customHeight="false" outlineLevel="0" collapsed="false">
      <c r="A11" s="0" t="s">
        <v>269</v>
      </c>
      <c r="B11" s="0" t="n">
        <v>48</v>
      </c>
      <c r="C11" s="0" t="s">
        <v>25</v>
      </c>
      <c r="D11" s="0" t="s">
        <v>272</v>
      </c>
      <c r="E11" s="0" t="s">
        <v>41</v>
      </c>
      <c r="F11" s="0" t="s">
        <v>42</v>
      </c>
      <c r="G11" s="0" t="s">
        <v>273</v>
      </c>
    </row>
    <row r="12" customFormat="false" ht="15" hidden="false" customHeight="false" outlineLevel="0" collapsed="false">
      <c r="A12" s="0" t="s">
        <v>1197</v>
      </c>
      <c r="B12" s="0" t="n">
        <v>349</v>
      </c>
      <c r="C12" s="0" t="s">
        <v>26</v>
      </c>
      <c r="D12" s="0" t="s">
        <v>252</v>
      </c>
      <c r="E12" s="0" t="s">
        <v>76</v>
      </c>
      <c r="F12" s="0" t="s">
        <v>29</v>
      </c>
      <c r="G12" s="0" t="s">
        <v>1198</v>
      </c>
    </row>
    <row r="13" customFormat="false" ht="15" hidden="false" customHeight="false" outlineLevel="0" collapsed="false">
      <c r="A13" s="0" t="s">
        <v>840</v>
      </c>
      <c r="B13" s="0" t="n">
        <v>215</v>
      </c>
      <c r="C13" s="0" t="s">
        <v>26</v>
      </c>
      <c r="D13" s="0" t="s">
        <v>200</v>
      </c>
      <c r="E13" s="0" t="s">
        <v>76</v>
      </c>
      <c r="F13" s="0" t="s">
        <v>29</v>
      </c>
      <c r="G13" s="0" t="s">
        <v>841</v>
      </c>
    </row>
    <row r="14" customFormat="false" ht="15" hidden="false" customHeight="false" outlineLevel="0" collapsed="false">
      <c r="A14" s="0" t="s">
        <v>147</v>
      </c>
      <c r="B14" s="0" t="n">
        <v>22</v>
      </c>
      <c r="C14" s="0" t="s">
        <v>26</v>
      </c>
      <c r="D14" s="0" t="s">
        <v>149</v>
      </c>
      <c r="E14" s="0" t="s">
        <v>76</v>
      </c>
      <c r="F14" s="0" t="s">
        <v>29</v>
      </c>
      <c r="G14" s="0" t="s">
        <v>150</v>
      </c>
    </row>
    <row r="15" customFormat="false" ht="15" hidden="false" customHeight="false" outlineLevel="0" collapsed="false">
      <c r="A15" s="0" t="s">
        <v>551</v>
      </c>
      <c r="B15" s="0" t="n">
        <v>121</v>
      </c>
      <c r="C15" s="0" t="s">
        <v>26</v>
      </c>
      <c r="D15" s="0" t="s">
        <v>130</v>
      </c>
      <c r="E15" s="0" t="s">
        <v>67</v>
      </c>
      <c r="F15" s="0" t="s">
        <v>29</v>
      </c>
      <c r="G15" s="0" t="s">
        <v>553</v>
      </c>
    </row>
    <row r="16" customFormat="false" ht="15" hidden="false" customHeight="false" outlineLevel="0" collapsed="false">
      <c r="A16" s="0" t="s">
        <v>57</v>
      </c>
      <c r="B16" s="0" t="n">
        <v>5</v>
      </c>
      <c r="C16" s="0" t="s">
        <v>25</v>
      </c>
      <c r="D16" s="0" t="s">
        <v>58</v>
      </c>
      <c r="E16" s="0" t="s">
        <v>51</v>
      </c>
      <c r="F16" s="0" t="s">
        <v>52</v>
      </c>
      <c r="G16" s="0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